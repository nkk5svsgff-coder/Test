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Ranked Master" sheetId="2" state="visible" r:id="rId2"/>
    <sheet name="Polymarket sweeps" sheetId="3" state="visible" r:id="rId3"/>
    <sheet name="Basis + funding" sheetId="4" state="visible" r:id="rId4"/>
    <sheet name="P2P corridors" sheetId="5" state="visible" r:id="rId5"/>
    <sheet name="DeFi lend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2"/>
    </font>
    <font>
      <name val="Arial"/>
      <b val="1"/>
      <sz val="9"/>
    </font>
    <font>
      <name val="Arial"/>
      <sz val="8"/>
    </font>
    <font>
      <name val="Arial"/>
      <b val="1"/>
      <color rgb="000000FF"/>
    </font>
    <font>
      <name val="Arial"/>
      <i val="1"/>
      <sz val="8"/>
    </font>
    <font>
      <name val="Arial"/>
      <b val="1"/>
      <color rgb="00FFFFFF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C2321"/>
      </patternFill>
    </fill>
    <fill>
      <patternFill patternType="solid">
        <fgColor rgb="00E1F0E7"/>
      </patternFill>
    </fill>
    <fill>
      <patternFill patternType="solid">
        <fgColor rgb="00F4F7F2"/>
      </patternFill>
    </fill>
    <fill>
      <patternFill patternType="solid">
        <fgColor rgb="00F7EDD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/>
    </xf>
    <xf numFmtId="0" fontId="2" fillId="0" borderId="0" applyAlignment="1" pivotButton="0" quotePrefix="0" xfId="0">
      <alignment/>
    </xf>
    <xf numFmtId="0" fontId="3" fillId="0" borderId="0" applyAlignment="1" pivotButton="0" quotePrefix="0" xfId="0">
      <alignment/>
    </xf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7" fillId="0" borderId="0" pivotButton="0" quotePrefix="0" xfId="0"/>
    <xf numFmtId="2" fontId="6" fillId="2" borderId="0" applyAlignment="1" pivotButton="0" quotePrefix="0" xfId="0">
      <alignment horizontal="center"/>
    </xf>
    <xf numFmtId="0" fontId="8" fillId="3" borderId="0" applyAlignment="1" pivotButton="0" quotePrefix="0" xfId="0">
      <alignment horizontal="center" vertical="center" wrapText="1"/>
    </xf>
    <xf numFmtId="0" fontId="9" fillId="4" borderId="1" pivotButton="0" quotePrefix="0" xfId="0"/>
    <xf numFmtId="2" fontId="4" fillId="4" borderId="1" pivotButton="0" quotePrefix="0" xfId="0"/>
    <xf numFmtId="0" fontId="9" fillId="4" borderId="1" applyAlignment="1" pivotButton="0" quotePrefix="0" xfId="0">
      <alignment vertical="top" wrapText="1"/>
    </xf>
    <xf numFmtId="2" fontId="9" fillId="4" borderId="1" pivotButton="0" quotePrefix="0" xfId="0"/>
    <xf numFmtId="3" fontId="9" fillId="4" borderId="1" pivotButton="0" quotePrefix="0" xfId="0"/>
    <xf numFmtId="164" fontId="9" fillId="4" borderId="1" pivotButton="0" quotePrefix="0" xfId="0"/>
    <xf numFmtId="0" fontId="9" fillId="0" borderId="1" pivotButton="0" quotePrefix="0" xfId="0"/>
    <xf numFmtId="2" fontId="9" fillId="0" borderId="1" pivotButton="0" quotePrefix="0" xfId="0"/>
    <xf numFmtId="0" fontId="9" fillId="5" borderId="1" pivotButton="0" quotePrefix="0" xfId="0"/>
    <xf numFmtId="2" fontId="4" fillId="5" borderId="1" pivotButton="0" quotePrefix="0" xfId="0"/>
    <xf numFmtId="0" fontId="9" fillId="5" borderId="1" applyAlignment="1" pivotButton="0" quotePrefix="0" xfId="0">
      <alignment vertical="top" wrapText="1"/>
    </xf>
    <xf numFmtId="2" fontId="9" fillId="5" borderId="1" pivotButton="0" quotePrefix="0" xfId="0"/>
    <xf numFmtId="3" fontId="9" fillId="5" borderId="1" pivotButton="0" quotePrefix="0" xfId="0"/>
    <xf numFmtId="164" fontId="9" fillId="5" borderId="1" pivotButton="0" quotePrefix="0" xfId="0"/>
    <xf numFmtId="2" fontId="4" fillId="0" borderId="1" pivotButton="0" quotePrefix="0" xfId="0"/>
    <xf numFmtId="0" fontId="9" fillId="0" borderId="1" applyAlignment="1" pivotButton="0" quotePrefix="0" xfId="0">
      <alignment vertical="top" wrapText="1"/>
    </xf>
    <xf numFmtId="3" fontId="9" fillId="0" borderId="1" pivotButton="0" quotePrefix="0" xfId="0"/>
    <xf numFmtId="164" fontId="9" fillId="0" borderId="1" pivotButton="0" quotePrefix="0" xfId="0"/>
    <xf numFmtId="0" fontId="9" fillId="6" borderId="1" pivotButton="0" quotePrefix="0" xfId="0"/>
    <xf numFmtId="0" fontId="8" fillId="3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Arbitrage Ledger</author>
  </authors>
  <commentList>
    <comment ref="A3" authorId="0" shapeId="0">
      <text>
        <t>Rows ordered by default-weight score. Edit the yellow weights (row 2) to re-score; sort manually if you want a new order.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ARBITRAGE LEDGER - ranked live opportunities</t>
        </is>
      </c>
    </row>
    <row r="2">
      <c r="A2" s="2" t="inlineStr">
        <is>
          <t>Generated 2026-08-17 08:42 UTC from six live scanners: 11 crypto exchanges (~9,500 pairs), Polymarket + Kalshi order books,</t>
        </is>
      </c>
    </row>
    <row r="3">
      <c r="A3" s="2" t="inlineStr">
        <is>
          <t>Deribit options (818 instruments), Gate delivery futures, OKX P2P fiat books (18 currencies), DefiLlama (15,588 pools),</t>
        </is>
      </c>
    </row>
    <row r="4">
      <c r="A4" s="2" t="inlineStr">
        <is>
          <t>Skinport (21k items), ECB ESTR. Every row was measured, and the top rows verified against live order-book depth.</t>
        </is>
      </c>
    </row>
    <row r="5">
      <c r="A5" s="2" t="inlineStr"/>
    </row>
    <row r="6">
      <c r="A6" s="3" t="inlineStr">
        <is>
          <t>HOW THE RANKING WORKS</t>
        </is>
      </c>
    </row>
    <row r="7">
      <c r="A7" s="2" t="inlineStr">
        <is>
          <t>Score = w1*EdgeScore + w2*RepeatScore + w3*CapacityScore + w4*EaseScore - w5*RiskScore  (all subscores 0-10).</t>
        </is>
      </c>
    </row>
    <row r="8">
      <c r="A8" s="2" t="inlineStr">
        <is>
          <t>The five weights are YELLOW input cells on the 'Ranked Master' sheet (row 2) - change them and every Score recalculates.</t>
        </is>
      </c>
    </row>
    <row r="9">
      <c r="A9" s="2" t="inlineStr">
        <is>
          <t>Rows are ordered by the default weighting. The 'Score' column is the default-weight value; the last column</t>
        </is>
      </c>
    </row>
    <row r="10">
      <c r="A10" s="2" t="inlineStr">
        <is>
          <t>'Score (your weights)' is a live formula that recomputes from the yellow weight cells when opened in Excel/Sheets.</t>
        </is>
      </c>
    </row>
    <row r="11">
      <c r="A11" s="2" t="inlineStr">
        <is>
          <t>Ease = practical accessibility for an EU/Greece-based individual (5 = one afternoon, 1 = needs rails you don't have).</t>
        </is>
      </c>
    </row>
    <row r="12">
      <c r="A12" s="2" t="inlineStr">
        <is>
          <t>Risk = 1 riskless-at-fill ... 5 speculative. 'Verified' names the primary evidence behind the numbers.</t>
        </is>
      </c>
    </row>
    <row r="13">
      <c r="A13" s="2" t="inlineStr"/>
    </row>
    <row r="14">
      <c r="A14" s="3" t="inlineStr">
        <is>
          <t>READ THIS BEFORE TRADING ANYTHING</t>
        </is>
      </c>
    </row>
    <row r="15">
      <c r="A15" s="2" t="inlineStr">
        <is>
          <t>1. No row in this file makes anyone a millionaire fast. That claim was tested six ways and is arithmetically impossible:</t>
        </is>
      </c>
    </row>
    <row r="16">
      <c r="A16" s="2" t="inlineStr">
        <is>
          <t xml:space="preserve">   a repeatable riskless 1% edge compounding freely would exceed global wealth within days - so every real edge is</t>
        </is>
      </c>
    </row>
    <row r="17">
      <c r="A17" s="2" t="inlineStr">
        <is>
          <t xml:space="preserve">   capacity-capped, and the caps are printed per row. Anyone selling a faster version is selling you exit liquidity.</t>
        </is>
      </c>
    </row>
    <row r="18">
      <c r="A18" s="2" t="inlineStr">
        <is>
          <t>2. The honest fast-wealth path this data supports: (a) harvest the small verified edges daily, (b) keep the scanner loop</t>
        </is>
      </c>
    </row>
    <row r="19">
      <c r="A19" s="2" t="inlineStr">
        <is>
          <t xml:space="preserve">   running so you are FIRST into rare dislocations (the Mar-2023 USDC depeg paid ~3-8% riskless at size to whoever was</t>
        </is>
      </c>
    </row>
    <row r="20">
      <c r="A20" s="2" t="inlineStr">
        <is>
          <t xml:space="preserve">   ready), (c) compound and scale skill into market-making, which is how every real arbitrage fortune was built.</t>
        </is>
      </c>
    </row>
    <row r="21">
      <c r="A21" s="2" t="inlineStr">
        <is>
          <t>3. Rows marked risk&gt;=3 can lose money. Inventory risk in market-making is larger than the per-cycle edge.</t>
        </is>
      </c>
    </row>
    <row r="22">
      <c r="A22" s="2" t="inlineStr">
        <is>
          <t>4. Numbers age fast: sweeps refill/vanish in hours, funding flips in days, basis converges at expiry.</t>
        </is>
      </c>
    </row>
    <row r="23">
      <c r="A23" s="2" t="inlineStr">
        <is>
          <t xml:space="preserve">   The refresh loop regenerates this file; check 'Measured at' per row.</t>
        </is>
      </c>
    </row>
    <row r="24">
      <c r="A24" s="2" t="inlineStr">
        <is>
          <t>5. Greek tax applies to gains; commercial-scale P2P activity can require licensing. This is research, not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20" customWidth="1" min="3" max="3"/>
    <col width="42" customWidth="1" min="4" max="4"/>
    <col width="22" customWidth="1" min="5" max="5"/>
    <col width="8" customWidth="1" min="6" max="6"/>
    <col width="26" customWidth="1" min="7" max="7"/>
    <col width="16" customWidth="1" min="8" max="8"/>
    <col width="16" customWidth="1" min="9" max="9"/>
    <col width="12" customWidth="1" min="10" max="10"/>
    <col width="24" customWidth="1" min="11" max="11"/>
    <col width="7" customWidth="1" min="12" max="12"/>
    <col width="7" customWidth="1" min="13" max="13"/>
    <col width="46" customWidth="1" min="14" max="14"/>
    <col width="52" customWidth="1" min="15" max="15"/>
    <col width="12" customWidth="1" min="16" max="16"/>
    <col width="17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11" customWidth="1" min="23" max="23"/>
  </cols>
  <sheetData>
    <row r="1">
      <c r="R1" s="4" t="inlineStr">
        <is>
          <t>Weights:</t>
        </is>
      </c>
      <c r="S1" s="5" t="inlineStr">
        <is>
          <t>edge</t>
        </is>
      </c>
      <c r="T1" s="5" t="inlineStr">
        <is>
          <t>repeat</t>
        </is>
      </c>
      <c r="U1" s="5" t="inlineStr">
        <is>
          <t>capacity</t>
        </is>
      </c>
      <c r="V1" s="5" t="inlineStr">
        <is>
          <t>ease</t>
        </is>
      </c>
      <c r="W1" s="5" t="inlineStr">
        <is>
          <t>risk (subtracted)</t>
        </is>
      </c>
    </row>
    <row r="2">
      <c r="R2" s="6" t="inlineStr">
        <is>
          <t>edit these -&gt;</t>
        </is>
      </c>
      <c r="S2" s="7" t="n">
        <v>0.3</v>
      </c>
      <c r="T2" s="7" t="n">
        <v>0.15</v>
      </c>
      <c r="U2" s="7" t="n">
        <v>0.15</v>
      </c>
      <c r="V2" s="7" t="n">
        <v>0.25</v>
      </c>
      <c r="W2" s="7" t="n">
        <v>0.15</v>
      </c>
    </row>
    <row r="3">
      <c r="A3" s="8" t="inlineStr">
        <is>
          <t>Rank</t>
        </is>
      </c>
      <c r="B3" s="8" t="inlineStr">
        <is>
          <t>Score</t>
        </is>
      </c>
      <c r="C3" s="8" t="inlineStr">
        <is>
          <t>Category</t>
        </is>
      </c>
      <c r="D3" s="8" t="inlineStr">
        <is>
          <t>Opportunity</t>
        </is>
      </c>
      <c r="E3" s="8" t="inlineStr">
        <is>
          <t>Where</t>
        </is>
      </c>
      <c r="F3" s="8" t="inlineStr">
        <is>
          <t>Edge</t>
        </is>
      </c>
      <c r="G3" s="8" t="inlineStr">
        <is>
          <t>Edge unit</t>
        </is>
      </c>
      <c r="H3" s="8" t="inlineStr">
        <is>
          <t>Cycle time</t>
        </is>
      </c>
      <c r="I3" s="8" t="inlineStr">
        <is>
          <t>Repeats per day</t>
        </is>
      </c>
      <c r="J3" s="8" t="inlineStr">
        <is>
          <t>Capacity ($)</t>
        </is>
      </c>
      <c r="K3" s="8" t="inlineStr">
        <is>
          <t>Verified by</t>
        </is>
      </c>
      <c r="L3" s="8" t="inlineStr">
        <is>
          <t>Ease 1-5</t>
        </is>
      </c>
      <c r="M3" s="8" t="inlineStr">
        <is>
          <t>Risk 1-5</t>
        </is>
      </c>
      <c r="N3" s="8" t="inlineStr">
        <is>
          <t>Risk notes</t>
        </is>
      </c>
      <c r="O3" s="8" t="inlineStr">
        <is>
          <t>How to execute</t>
        </is>
      </c>
      <c r="P3" s="8" t="inlineStr">
        <is>
          <t>Est $ per day @ $10k</t>
        </is>
      </c>
      <c r="Q3" s="8" t="inlineStr">
        <is>
          <t>Measured at</t>
        </is>
      </c>
      <c r="R3" s="8" t="inlineStr">
        <is>
          <t>EdgeScore</t>
        </is>
      </c>
      <c r="S3" s="8" t="inlineStr">
        <is>
          <t>RepeatScore</t>
        </is>
      </c>
      <c r="T3" s="8" t="inlineStr">
        <is>
          <t>CapacityScore</t>
        </is>
      </c>
      <c r="U3" s="8" t="inlineStr">
        <is>
          <t>EaseScore</t>
        </is>
      </c>
      <c r="V3" s="8" t="inlineStr">
        <is>
          <t>RiskScore</t>
        </is>
      </c>
      <c r="W3" s="8" t="inlineStr">
        <is>
          <t>Score (your weights)</t>
        </is>
      </c>
    </row>
    <row r="4">
      <c r="A4" s="9" t="n">
        <v>1</v>
      </c>
      <c r="B4" s="10" t="n">
        <v>5.17</v>
      </c>
      <c r="C4" s="9" t="inlineStr">
        <is>
          <t>Rate arbitrage</t>
        </is>
      </c>
      <c r="D4" s="11" t="inlineStr">
        <is>
          <t>Idle EUR: money-market ETF vs Greek deposit</t>
        </is>
      </c>
      <c r="E4" s="9" t="inlineStr">
        <is>
          <t>XEON/CSH2 via EU broker</t>
        </is>
      </c>
      <c r="F4" s="12" t="n">
        <v>1.9</v>
      </c>
      <c r="G4" s="11" t="inlineStr">
        <is>
          <t>% per year (2.19% ESTR - ~0.3% bank)</t>
        </is>
      </c>
      <c r="H4" s="11" t="inlineStr">
        <is>
          <t>one-time setup</t>
        </is>
      </c>
      <c r="I4" s="11" t="inlineStr">
        <is>
          <t>continuous</t>
        </is>
      </c>
      <c r="J4" s="13" t="n">
        <v>10000000</v>
      </c>
      <c r="K4" s="11" t="inlineStr">
        <is>
          <t>ECB ESTR fix 2.188% (fetched)</t>
        </is>
      </c>
      <c r="L4" s="9" t="n">
        <v>5</v>
      </c>
      <c r="M4" s="9" t="n">
        <v>1</v>
      </c>
      <c r="N4" s="11" t="inlineStr">
        <is>
          <t>Near-riskless (o/n rates); ETF spread ~2bp; ESTR moves with ECB policy</t>
        </is>
      </c>
      <c r="O4" s="11" t="inlineStr">
        <is>
          <t>Move idle EUR from Greek bank deposit to an overnight-rate MMF ETF</t>
        </is>
      </c>
      <c r="P4" s="14" t="n">
        <v>0.5</v>
      </c>
      <c r="Q4" s="9" t="inlineStr">
        <is>
          <t>2026-08-17 08:42 UTC</t>
        </is>
      </c>
      <c r="R4" s="15" t="n">
        <v>0.4</v>
      </c>
      <c r="S4" s="15" t="n">
        <v>9</v>
      </c>
      <c r="T4" s="15" t="n">
        <v>10</v>
      </c>
      <c r="U4" s="15" t="n">
        <v>10</v>
      </c>
      <c r="V4" s="15" t="n">
        <v>2</v>
      </c>
      <c r="W4" s="16">
        <f>$S$2*R4+$T$2*S4+$U$2*T4+$V$2*U4-$W$2*V4</f>
        <v/>
      </c>
    </row>
    <row r="5">
      <c r="A5" s="9" t="n">
        <v>2</v>
      </c>
      <c r="B5" s="10" t="n">
        <v>4.92</v>
      </c>
      <c r="C5" s="9" t="inlineStr">
        <is>
          <t>Delta-neutral carry</t>
        </is>
      </c>
      <c r="D5" s="11" t="inlineStr">
        <is>
          <t>Double-perp funding: ACE</t>
        </is>
      </c>
      <c r="E5" s="9" t="inlineStr">
        <is>
          <t>gate + bitget</t>
        </is>
      </c>
      <c r="F5" s="12" t="n">
        <v>3.166</v>
      </c>
      <c r="G5" s="11" t="inlineStr">
        <is>
          <t>% per day while spread lasts</t>
        </is>
      </c>
      <c r="H5" s="11" t="inlineStr">
        <is>
          <t>continuous</t>
        </is>
      </c>
      <c r="I5" s="11" t="inlineStr">
        <is>
          <t>continuous (rate 8h/4h/1h)</t>
        </is>
      </c>
      <c r="J5" s="13" t="n">
        <v>50000</v>
      </c>
      <c r="K5" s="11" t="inlineStr">
        <is>
          <t>funding feeds both venues</t>
        </is>
      </c>
      <c r="L5" s="9" t="n">
        <v>3</v>
      </c>
      <c r="M5" s="9" t="n">
        <v>3</v>
      </c>
      <c r="N5" s="11" t="inlineStr">
        <is>
          <t>Rates converge in days; liquidation buffers both legs; 4 fees round trip</t>
        </is>
      </c>
      <c r="O5" s="11" t="inlineStr">
        <is>
          <t>Long ACE perp on gate, short on bitget - zero price exposure</t>
        </is>
      </c>
      <c r="P5" s="14" t="n">
        <v>158.3</v>
      </c>
      <c r="Q5" s="9" t="inlineStr">
        <is>
          <t>2026-08-17T04:43:00Z</t>
        </is>
      </c>
      <c r="R5" s="15" t="n">
        <v>6.4</v>
      </c>
      <c r="S5" s="15" t="n">
        <v>9</v>
      </c>
      <c r="T5" s="15" t="n">
        <v>7</v>
      </c>
      <c r="U5" s="15" t="n">
        <v>6</v>
      </c>
      <c r="V5" s="15" t="n">
        <v>6</v>
      </c>
      <c r="W5" s="16">
        <f>$S$2*R5+$T$2*S5+$U$2*T5+$V$2*U5-$W$2*V5</f>
        <v/>
      </c>
    </row>
    <row r="6">
      <c r="A6" s="9" t="n">
        <v>3</v>
      </c>
      <c r="B6" s="10" t="n">
        <v>4.59</v>
      </c>
      <c r="C6" s="9" t="inlineStr">
        <is>
          <t>Delta-neutral carry</t>
        </is>
      </c>
      <c r="D6" s="11" t="inlineStr">
        <is>
          <t>Double-perp funding: WAL</t>
        </is>
      </c>
      <c r="E6" s="9" t="inlineStr">
        <is>
          <t>gate + bitget</t>
        </is>
      </c>
      <c r="F6" s="12" t="n">
        <v>1.033</v>
      </c>
      <c r="G6" s="11" t="inlineStr">
        <is>
          <t>% per day while spread lasts</t>
        </is>
      </c>
      <c r="H6" s="11" t="inlineStr">
        <is>
          <t>continuous</t>
        </is>
      </c>
      <c r="I6" s="11" t="inlineStr">
        <is>
          <t>continuous (rate 8h/4h/1h)</t>
        </is>
      </c>
      <c r="J6" s="13" t="n">
        <v>50000</v>
      </c>
      <c r="K6" s="11" t="inlineStr">
        <is>
          <t>funding feeds both venues</t>
        </is>
      </c>
      <c r="L6" s="9" t="n">
        <v>3</v>
      </c>
      <c r="M6" s="9" t="n">
        <v>3</v>
      </c>
      <c r="N6" s="11" t="inlineStr">
        <is>
          <t>Rates converge in days; liquidation buffers both legs; 4 fees round trip</t>
        </is>
      </c>
      <c r="O6" s="11" t="inlineStr">
        <is>
          <t>Long WAL perp on gate, short on bitget - zero price exposure</t>
        </is>
      </c>
      <c r="P6" s="14" t="n">
        <v>51.6</v>
      </c>
      <c r="Q6" s="9" t="inlineStr">
        <is>
          <t>2026-08-17T04:43:00Z</t>
        </is>
      </c>
      <c r="R6" s="15" t="n">
        <v>5.3</v>
      </c>
      <c r="S6" s="15" t="n">
        <v>9</v>
      </c>
      <c r="T6" s="15" t="n">
        <v>7</v>
      </c>
      <c r="U6" s="15" t="n">
        <v>6</v>
      </c>
      <c r="V6" s="15" t="n">
        <v>6</v>
      </c>
      <c r="W6" s="16">
        <f>$S$2*R6+$T$2*S6+$U$2*T6+$V$2*U6-$W$2*V6</f>
        <v/>
      </c>
    </row>
    <row r="7">
      <c r="A7" s="9" t="n">
        <v>4</v>
      </c>
      <c r="B7" s="10" t="n">
        <v>4.47</v>
      </c>
      <c r="C7" s="9" t="inlineStr">
        <is>
          <t>Delta-neutral carry</t>
        </is>
      </c>
      <c r="D7" s="11" t="inlineStr">
        <is>
          <t>Double-perp funding: HOME</t>
        </is>
      </c>
      <c r="E7" s="9" t="inlineStr">
        <is>
          <t>gate + bitget</t>
        </is>
      </c>
      <c r="F7" s="12" t="n">
        <v>0.714</v>
      </c>
      <c r="G7" s="11" t="inlineStr">
        <is>
          <t>% per day while spread lasts</t>
        </is>
      </c>
      <c r="H7" s="11" t="inlineStr">
        <is>
          <t>continuous</t>
        </is>
      </c>
      <c r="I7" s="11" t="inlineStr">
        <is>
          <t>continuous (rate 8h/4h/1h)</t>
        </is>
      </c>
      <c r="J7" s="13" t="n">
        <v>50000</v>
      </c>
      <c r="K7" s="11" t="inlineStr">
        <is>
          <t>funding feeds both venues</t>
        </is>
      </c>
      <c r="L7" s="9" t="n">
        <v>3</v>
      </c>
      <c r="M7" s="9" t="n">
        <v>3</v>
      </c>
      <c r="N7" s="11" t="inlineStr">
        <is>
          <t>Rates converge in days; liquidation buffers both legs; 4 fees round trip</t>
        </is>
      </c>
      <c r="O7" s="11" t="inlineStr">
        <is>
          <t>Long HOME perp on gate, short on bitget - zero price exposure</t>
        </is>
      </c>
      <c r="P7" s="14" t="n">
        <v>35.7</v>
      </c>
      <c r="Q7" s="9" t="inlineStr">
        <is>
          <t>2026-08-17T04:43:00Z</t>
        </is>
      </c>
      <c r="R7" s="15" t="n">
        <v>4.9</v>
      </c>
      <c r="S7" s="15" t="n">
        <v>9</v>
      </c>
      <c r="T7" s="15" t="n">
        <v>7</v>
      </c>
      <c r="U7" s="15" t="n">
        <v>6</v>
      </c>
      <c r="V7" s="15" t="n">
        <v>6</v>
      </c>
      <c r="W7" s="16">
        <f>$S$2*R7+$T$2*S7+$U$2*T7+$V$2*U7-$W$2*V7</f>
        <v/>
      </c>
    </row>
    <row r="8">
      <c r="A8" s="9" t="n">
        <v>5</v>
      </c>
      <c r="B8" s="10" t="n">
        <v>4.26</v>
      </c>
      <c r="C8" s="9" t="inlineStr">
        <is>
          <t>Prediction structural</t>
        </is>
      </c>
      <c r="D8" s="11" t="inlineStr">
        <is>
          <t>Neg-risk sweep: Fed Decision in December?</t>
        </is>
      </c>
      <c r="E8" s="9" t="inlineStr">
        <is>
          <t>Polymarket</t>
        </is>
      </c>
      <c r="F8" s="12" t="n">
        <v>0.251</v>
      </c>
      <c r="G8" s="11" t="inlineStr">
        <is>
          <t>% per cycle (riskless)</t>
        </is>
      </c>
      <c r="H8" s="11" t="inlineStr">
        <is>
          <t>minutes</t>
        </is>
      </c>
      <c r="I8" s="11" t="inlineStr">
        <is>
          <t>5-20 (as books refill)</t>
        </is>
      </c>
      <c r="J8" s="13" t="n">
        <v>3300</v>
      </c>
      <c r="K8" s="11" t="inlineStr">
        <is>
          <t>live CLOB, every outcome book</t>
        </is>
      </c>
      <c r="L8" s="9" t="n">
        <v>4</v>
      </c>
      <c r="M8" s="9" t="n">
        <v>1</v>
      </c>
      <c r="N8" s="11" t="inlineStr">
        <is>
          <t>Depth-capped; edge locked at fill; no-fee venue</t>
        </is>
      </c>
      <c r="O8" s="11" t="inlineStr">
        <is>
          <t>Buy NO on all 5 outcomes, convert set to USDC instantly via NegRiskAdapter, repeat</t>
        </is>
      </c>
      <c r="P8" s="14" t="n">
        <v>20</v>
      </c>
      <c r="Q8" s="9" t="inlineStr">
        <is>
          <t>2026-08-17T08:41:52Z</t>
        </is>
      </c>
      <c r="R8" s="15" t="n">
        <v>2.9</v>
      </c>
      <c r="S8" s="15" t="n">
        <v>6</v>
      </c>
      <c r="T8" s="15" t="n">
        <v>5.3</v>
      </c>
      <c r="U8" s="15" t="n">
        <v>8</v>
      </c>
      <c r="V8" s="15" t="n">
        <v>2</v>
      </c>
      <c r="W8" s="16">
        <f>$S$2*R8+$T$2*S8+$U$2*T8+$V$2*U8-$W$2*V8</f>
        <v/>
      </c>
    </row>
    <row r="9">
      <c r="A9" s="9" t="n">
        <v>6</v>
      </c>
      <c r="B9" s="10" t="n">
        <v>4.12</v>
      </c>
      <c r="C9" s="9" t="inlineStr">
        <is>
          <t>Prediction structural</t>
        </is>
      </c>
      <c r="D9" s="11" t="inlineStr">
        <is>
          <t>Neg-risk sweep: RC Celta de Vigo vs. CA Osasuna</t>
        </is>
      </c>
      <c r="E9" s="9" t="inlineStr">
        <is>
          <t>Polymarket</t>
        </is>
      </c>
      <c r="F9" s="12" t="n">
        <v>0.503</v>
      </c>
      <c r="G9" s="11" t="inlineStr">
        <is>
          <t>% per cycle (riskless)</t>
        </is>
      </c>
      <c r="H9" s="11" t="inlineStr">
        <is>
          <t>minutes</t>
        </is>
      </c>
      <c r="I9" s="11" t="inlineStr">
        <is>
          <t>5-20 (as books refill)</t>
        </is>
      </c>
      <c r="J9" s="13" t="n">
        <v>116</v>
      </c>
      <c r="K9" s="11" t="inlineStr">
        <is>
          <t>live CLOB, every outcome book</t>
        </is>
      </c>
      <c r="L9" s="9" t="n">
        <v>4</v>
      </c>
      <c r="M9" s="9" t="n">
        <v>1</v>
      </c>
      <c r="N9" s="11" t="inlineStr">
        <is>
          <t>Depth-capped; edge locked at fill; no-fee venue</t>
        </is>
      </c>
      <c r="O9" s="11" t="inlineStr">
        <is>
          <t>Buy NO on all 3 outcomes, convert set to USDC instantly via NegRiskAdapter, repeat</t>
        </is>
      </c>
      <c r="P9" s="14" t="n">
        <v>4.6</v>
      </c>
      <c r="Q9" s="9" t="inlineStr">
        <is>
          <t>2026-08-17T08:41:52Z</t>
        </is>
      </c>
      <c r="R9" s="15" t="n">
        <v>3.5</v>
      </c>
      <c r="S9" s="15" t="n">
        <v>6</v>
      </c>
      <c r="T9" s="15" t="n">
        <v>3.1</v>
      </c>
      <c r="U9" s="15" t="n">
        <v>8</v>
      </c>
      <c r="V9" s="15" t="n">
        <v>2</v>
      </c>
      <c r="W9" s="16">
        <f>$S$2*R9+$T$2*S9+$U$2*T9+$V$2*U9-$W$2*V9</f>
        <v/>
      </c>
    </row>
    <row r="10">
      <c r="A10" s="9" t="n">
        <v>7</v>
      </c>
      <c r="B10" s="10" t="n">
        <v>4.02</v>
      </c>
      <c r="C10" s="9" t="inlineStr">
        <is>
          <t>Prediction structural</t>
        </is>
      </c>
      <c r="D10" s="11" t="inlineStr">
        <is>
          <t>Neg-risk sweep: Fed Decision in October?</t>
        </is>
      </c>
      <c r="E10" s="9" t="inlineStr">
        <is>
          <t>Polymarket</t>
        </is>
      </c>
      <c r="F10" s="12" t="n">
        <v>0.226</v>
      </c>
      <c r="G10" s="11" t="inlineStr">
        <is>
          <t>% per cycle (riskless)</t>
        </is>
      </c>
      <c r="H10" s="11" t="inlineStr">
        <is>
          <t>minutes</t>
        </is>
      </c>
      <c r="I10" s="11" t="inlineStr">
        <is>
          <t>5-20 (as books refill)</t>
        </is>
      </c>
      <c r="J10" s="13" t="n">
        <v>399</v>
      </c>
      <c r="K10" s="11" t="inlineStr">
        <is>
          <t>live CLOB, every outcome book</t>
        </is>
      </c>
      <c r="L10" s="9" t="n">
        <v>4</v>
      </c>
      <c r="M10" s="9" t="n">
        <v>1</v>
      </c>
      <c r="N10" s="11" t="inlineStr">
        <is>
          <t>Depth-capped; edge locked at fill; no-fee venue</t>
        </is>
      </c>
      <c r="O10" s="11" t="inlineStr">
        <is>
          <t>Buy NO on all 5 outcomes, convert set to USDC instantly via NegRiskAdapter, repeat</t>
        </is>
      </c>
      <c r="P10" s="14" t="n">
        <v>7.2</v>
      </c>
      <c r="Q10" s="9" t="inlineStr">
        <is>
          <t>2026-08-17T08:41:52Z</t>
        </is>
      </c>
      <c r="R10" s="15" t="n">
        <v>2.8</v>
      </c>
      <c r="S10" s="15" t="n">
        <v>6</v>
      </c>
      <c r="T10" s="15" t="n">
        <v>3.9</v>
      </c>
      <c r="U10" s="15" t="n">
        <v>8</v>
      </c>
      <c r="V10" s="15" t="n">
        <v>2</v>
      </c>
      <c r="W10" s="16">
        <f>$S$2*R10+$T$2*S10+$U$2*T10+$V$2*U10-$W$2*V10</f>
        <v/>
      </c>
    </row>
    <row r="11">
      <c r="A11" s="9" t="n">
        <v>8</v>
      </c>
      <c r="B11" s="10" t="n">
        <v>4.01</v>
      </c>
      <c r="C11" s="9" t="inlineStr">
        <is>
          <t>Prediction structural</t>
        </is>
      </c>
      <c r="D11" s="11" t="inlineStr">
        <is>
          <t>Neg-risk sweep: How many Fed rate cuts in 2026?</t>
        </is>
      </c>
      <c r="E11" s="9" t="inlineStr">
        <is>
          <t>Polymarket</t>
        </is>
      </c>
      <c r="F11" s="12" t="n">
        <v>0.075</v>
      </c>
      <c r="G11" s="11" t="inlineStr">
        <is>
          <t>% per cycle (riskless)</t>
        </is>
      </c>
      <c r="H11" s="11" t="inlineStr">
        <is>
          <t>minutes</t>
        </is>
      </c>
      <c r="I11" s="11" t="inlineStr">
        <is>
          <t>5-20 (as books refill)</t>
        </is>
      </c>
      <c r="J11" s="13" t="n">
        <v>9419</v>
      </c>
      <c r="K11" s="11" t="inlineStr">
        <is>
          <t>live CLOB, every outcome book</t>
        </is>
      </c>
      <c r="L11" s="9" t="n">
        <v>4</v>
      </c>
      <c r="M11" s="9" t="n">
        <v>1</v>
      </c>
      <c r="N11" s="11" t="inlineStr">
        <is>
          <t>Depth-capped; edge locked at fill; no-fee venue</t>
        </is>
      </c>
      <c r="O11" s="11" t="inlineStr">
        <is>
          <t>Buy NO on all 13 outcomes, convert set to USDC instantly via NegRiskAdapter, repeat</t>
        </is>
      </c>
      <c r="P11" s="14" t="n">
        <v>20</v>
      </c>
      <c r="Q11" s="9" t="inlineStr">
        <is>
          <t>2026-08-17T08:41:52Z</t>
        </is>
      </c>
      <c r="R11" s="15" t="n">
        <v>1.7</v>
      </c>
      <c r="S11" s="15" t="n">
        <v>6</v>
      </c>
      <c r="T11" s="15" t="n">
        <v>6</v>
      </c>
      <c r="U11" s="15" t="n">
        <v>8</v>
      </c>
      <c r="V11" s="15" t="n">
        <v>2</v>
      </c>
      <c r="W11" s="16">
        <f>$S$2*R11+$T$2*S11+$U$2*T11+$V$2*U11-$W$2*V11</f>
        <v/>
      </c>
    </row>
    <row r="12">
      <c r="A12" s="17" t="n">
        <v>9</v>
      </c>
      <c r="B12" s="18" t="n">
        <v>3.93</v>
      </c>
      <c r="C12" s="17" t="inlineStr">
        <is>
          <t>DeFi rate arbitrage</t>
        </is>
      </c>
      <c r="D12" s="19" t="inlineStr">
        <is>
          <t>Borrow-lend spread: WETH on Base</t>
        </is>
      </c>
      <c r="E12" s="17" t="inlineStr">
        <is>
          <t>compound-v3 -&gt; fusion-by-ipor</t>
        </is>
      </c>
      <c r="F12" s="20" t="n">
        <v>8.130000000000001</v>
      </c>
      <c r="G12" s="19" t="inlineStr">
        <is>
          <t>% per year on borrowed notional</t>
        </is>
      </c>
      <c r="H12" s="19" t="inlineStr">
        <is>
          <t>instant entry/exit</t>
        </is>
      </c>
      <c r="I12" s="19" t="inlineStr">
        <is>
          <t>continuous</t>
        </is>
      </c>
      <c r="J12" s="21" t="n">
        <v>5154799</v>
      </c>
      <c r="K12" s="19" t="inlineStr">
        <is>
          <t>DefiLlama live rates</t>
        </is>
      </c>
      <c r="L12" s="17" t="n">
        <v>3</v>
      </c>
      <c r="M12" s="17" t="n">
        <v>3</v>
      </c>
      <c r="N12" s="19" t="inlineStr">
        <is>
          <t>Protocol solvency + rate moves + liquidation; obscure lenders = risk premium</t>
        </is>
      </c>
      <c r="O12" s="19" t="inlineStr">
        <is>
          <t>Borrow WETH at 0% on compound-v3, lend at 8.13% on fusion-by-ipor</t>
        </is>
      </c>
      <c r="P12" s="22" t="n">
        <v>1.6</v>
      </c>
      <c r="Q12" s="17" t="inlineStr">
        <is>
          <t>2026-08-17T08:42:10Z</t>
        </is>
      </c>
      <c r="R12" s="15" t="n">
        <v>1.6</v>
      </c>
      <c r="S12" s="15" t="n">
        <v>9</v>
      </c>
      <c r="T12" s="15" t="n">
        <v>10</v>
      </c>
      <c r="U12" s="15" t="n">
        <v>6</v>
      </c>
      <c r="V12" s="15" t="n">
        <v>6</v>
      </c>
      <c r="W12" s="16">
        <f>$S$2*R12+$T$2*S12+$U$2*T12+$V$2*U12-$W$2*V12</f>
        <v/>
      </c>
    </row>
    <row r="13">
      <c r="A13" s="17" t="n">
        <v>10</v>
      </c>
      <c r="B13" s="18" t="n">
        <v>3.93</v>
      </c>
      <c r="C13" s="17" t="inlineStr">
        <is>
          <t>DeFi rate arbitrage</t>
        </is>
      </c>
      <c r="D13" s="19" t="inlineStr">
        <is>
          <t>Borrow-lend spread: SUSDAT on Ethereum</t>
        </is>
      </c>
      <c r="E13" s="17" t="inlineStr">
        <is>
          <t>morpho-blue -&gt; saturn</t>
        </is>
      </c>
      <c r="F13" s="20" t="n">
        <v>8.039999999999999</v>
      </c>
      <c r="G13" s="19" t="inlineStr">
        <is>
          <t>% per year on borrowed notional</t>
        </is>
      </c>
      <c r="H13" s="19" t="inlineStr">
        <is>
          <t>instant entry/exit</t>
        </is>
      </c>
      <c r="I13" s="19" t="inlineStr">
        <is>
          <t>continuous</t>
        </is>
      </c>
      <c r="J13" s="21" t="n">
        <v>9807046</v>
      </c>
      <c r="K13" s="19" t="inlineStr">
        <is>
          <t>DefiLlama live rates</t>
        </is>
      </c>
      <c r="L13" s="17" t="n">
        <v>3</v>
      </c>
      <c r="M13" s="17" t="n">
        <v>3</v>
      </c>
      <c r="N13" s="19" t="inlineStr">
        <is>
          <t>Protocol solvency + rate moves + liquidation; obscure lenders = risk premium</t>
        </is>
      </c>
      <c r="O13" s="19" t="inlineStr">
        <is>
          <t>Borrow SUSDAT at 10.36% on morpho-blue, lend at 18.4% on saturn</t>
        </is>
      </c>
      <c r="P13" s="22" t="n">
        <v>1.5</v>
      </c>
      <c r="Q13" s="17" t="inlineStr">
        <is>
          <t>2026-08-17T08:42:10Z</t>
        </is>
      </c>
      <c r="R13" s="15" t="n">
        <v>1.6</v>
      </c>
      <c r="S13" s="15" t="n">
        <v>9</v>
      </c>
      <c r="T13" s="15" t="n">
        <v>10</v>
      </c>
      <c r="U13" s="15" t="n">
        <v>6</v>
      </c>
      <c r="V13" s="15" t="n">
        <v>6</v>
      </c>
      <c r="W13" s="16">
        <f>$S$2*R13+$T$2*S13+$U$2*T13+$V$2*U13-$W$2*V13</f>
        <v/>
      </c>
    </row>
    <row r="14">
      <c r="A14" s="17" t="n">
        <v>11</v>
      </c>
      <c r="B14" s="18" t="n">
        <v>3.91</v>
      </c>
      <c r="C14" s="17" t="inlineStr">
        <is>
          <t>Prediction structural</t>
        </is>
      </c>
      <c r="D14" s="19" t="inlineStr">
        <is>
          <t>Neg-risk sweep: Beşiktaş JK vs. FK Kauno Žalgiris</t>
        </is>
      </c>
      <c r="E14" s="17" t="inlineStr">
        <is>
          <t>Polymarket</t>
        </is>
      </c>
      <c r="F14" s="20" t="n">
        <v>0.553</v>
      </c>
      <c r="G14" s="19" t="inlineStr">
        <is>
          <t>% per cycle (riskless)</t>
        </is>
      </c>
      <c r="H14" s="19" t="inlineStr">
        <is>
          <t>minutes</t>
        </is>
      </c>
      <c r="I14" s="19" t="inlineStr">
        <is>
          <t>5-20 (as books refill)</t>
        </is>
      </c>
      <c r="J14" s="21" t="n">
        <v>10</v>
      </c>
      <c r="K14" s="19" t="inlineStr">
        <is>
          <t>live CLOB, every outcome book</t>
        </is>
      </c>
      <c r="L14" s="17" t="n">
        <v>4</v>
      </c>
      <c r="M14" s="17" t="n">
        <v>1</v>
      </c>
      <c r="N14" s="19" t="inlineStr">
        <is>
          <t>Depth-capped; edge locked at fill; no-fee venue</t>
        </is>
      </c>
      <c r="O14" s="19" t="inlineStr">
        <is>
          <t>Buy NO on all 3 outcomes, convert set to USDC instantly via NegRiskAdapter, repeat</t>
        </is>
      </c>
      <c r="P14" s="22" t="n">
        <v>0.5</v>
      </c>
      <c r="Q14" s="17" t="inlineStr">
        <is>
          <t>2026-08-17T08:41:52Z</t>
        </is>
      </c>
      <c r="R14" s="15" t="n">
        <v>3.6</v>
      </c>
      <c r="S14" s="15" t="n">
        <v>6</v>
      </c>
      <c r="T14" s="15" t="n">
        <v>1.5</v>
      </c>
      <c r="U14" s="15" t="n">
        <v>8</v>
      </c>
      <c r="V14" s="15" t="n">
        <v>2</v>
      </c>
      <c r="W14" s="16">
        <f>$S$2*R14+$T$2*S14+$U$2*T14+$V$2*U14-$W$2*V14</f>
        <v/>
      </c>
    </row>
    <row r="15">
      <c r="A15" s="17" t="n">
        <v>12</v>
      </c>
      <c r="B15" s="18" t="n">
        <v>3.9</v>
      </c>
      <c r="C15" s="17" t="inlineStr">
        <is>
          <t>Rate arbitrage</t>
        </is>
      </c>
      <c r="D15" s="19" t="inlineStr">
        <is>
          <t>EURC on-chain vs Greek deposit</t>
        </is>
      </c>
      <c r="E15" s="17" t="inlineStr">
        <is>
          <t>Aave v3 Ethereum</t>
        </is>
      </c>
      <c r="F15" s="20" t="n">
        <v>2.6</v>
      </c>
      <c r="G15" s="19" t="inlineStr">
        <is>
          <t>% per year net of bank rate</t>
        </is>
      </c>
      <c r="H15" s="19" t="inlineStr">
        <is>
          <t>instant</t>
        </is>
      </c>
      <c r="I15" s="19" t="inlineStr">
        <is>
          <t>continuous</t>
        </is>
      </c>
      <c r="J15" s="21" t="n">
        <v>11000000</v>
      </c>
      <c r="K15" s="19" t="inlineStr">
        <is>
          <t>DefiLlama: EURC 2.93% APY, $11M TVL</t>
        </is>
      </c>
      <c r="L15" s="17" t="n">
        <v>3</v>
      </c>
      <c r="M15" s="17" t="n">
        <v>2</v>
      </c>
      <c r="N15" s="19" t="inlineStr">
        <is>
          <t>Smart-contract + stablecoin issuer risk; beats ESTR slightly</t>
        </is>
      </c>
      <c r="O15" s="19" t="inlineStr">
        <is>
          <t>Hold EURC, supply on Aave</t>
        </is>
      </c>
      <c r="P15" s="22" t="n">
        <v>0.7</v>
      </c>
      <c r="Q15" s="17" t="inlineStr">
        <is>
          <t>2026-08-17 08:42 UTC</t>
        </is>
      </c>
      <c r="R15" s="15" t="n">
        <v>0.5</v>
      </c>
      <c r="S15" s="15" t="n">
        <v>9</v>
      </c>
      <c r="T15" s="15" t="n">
        <v>10</v>
      </c>
      <c r="U15" s="15" t="n">
        <v>6</v>
      </c>
      <c r="V15" s="15" t="n">
        <v>4</v>
      </c>
      <c r="W15" s="16">
        <f>$S$2*R15+$T$2*S15+$U$2*T15+$V$2*U15-$W$2*V15</f>
        <v/>
      </c>
    </row>
    <row r="16">
      <c r="A16" s="17" t="n">
        <v>13</v>
      </c>
      <c r="B16" s="18" t="n">
        <v>3.88</v>
      </c>
      <c r="C16" s="17" t="inlineStr">
        <is>
          <t>Prediction structural</t>
        </is>
      </c>
      <c r="D16" s="19" t="inlineStr">
        <is>
          <t>Neg-risk sweep: Anthropic IPO Closing Market Cap</t>
        </is>
      </c>
      <c r="E16" s="17" t="inlineStr">
        <is>
          <t>Polymarket</t>
        </is>
      </c>
      <c r="F16" s="20" t="n">
        <v>0.189</v>
      </c>
      <c r="G16" s="19" t="inlineStr">
        <is>
          <t>% per cycle (riskless)</t>
        </is>
      </c>
      <c r="H16" s="19" t="inlineStr">
        <is>
          <t>minutes</t>
        </is>
      </c>
      <c r="I16" s="19" t="inlineStr">
        <is>
          <t>5-20 (as books refill)</t>
        </is>
      </c>
      <c r="J16" s="21" t="n">
        <v>171</v>
      </c>
      <c r="K16" s="19" t="inlineStr">
        <is>
          <t>live CLOB, every outcome book</t>
        </is>
      </c>
      <c r="L16" s="17" t="n">
        <v>4</v>
      </c>
      <c r="M16" s="17" t="n">
        <v>1</v>
      </c>
      <c r="N16" s="19" t="inlineStr">
        <is>
          <t>Depth-capped; edge locked at fill; no-fee venue</t>
        </is>
      </c>
      <c r="O16" s="19" t="inlineStr">
        <is>
          <t>Buy NO on all 10 outcomes, convert set to USDC instantly via NegRiskAdapter, repeat</t>
        </is>
      </c>
      <c r="P16" s="22" t="n">
        <v>2.6</v>
      </c>
      <c r="Q16" s="17" t="inlineStr">
        <is>
          <t>2026-08-17T08:41:52Z</t>
        </is>
      </c>
      <c r="R16" s="15" t="n">
        <v>2.6</v>
      </c>
      <c r="S16" s="15" t="n">
        <v>6</v>
      </c>
      <c r="T16" s="15" t="n">
        <v>3.3</v>
      </c>
      <c r="U16" s="15" t="n">
        <v>8</v>
      </c>
      <c r="V16" s="15" t="n">
        <v>2</v>
      </c>
      <c r="W16" s="16">
        <f>$S$2*R16+$T$2*S16+$U$2*T16+$V$2*U16-$W$2*V16</f>
        <v/>
      </c>
    </row>
    <row r="17">
      <c r="A17" s="17" t="n">
        <v>14</v>
      </c>
      <c r="B17" s="18" t="n">
        <v>3.87</v>
      </c>
      <c r="C17" s="17" t="inlineStr">
        <is>
          <t>Gaming items</t>
        </is>
      </c>
      <c r="D17" s="19" t="inlineStr">
        <is>
          <t>CS2 skins spend-discount (median None% off Steam)</t>
        </is>
      </c>
      <c r="E17" s="17" t="inlineStr">
        <is>
          <t>Skinport -&gt; Steam ecosystem</t>
        </is>
      </c>
      <c r="F17" s="20" t="n">
        <v>22</v>
      </c>
      <c r="G17" s="19" t="inlineStr">
        <is>
          <t>% discount on Steam spend</t>
        </is>
      </c>
      <c r="H17" s="19" t="inlineStr">
        <is>
          <t>instant</t>
        </is>
      </c>
      <c r="I17" s="19" t="inlineStr">
        <is>
          <t>unlimited for own spending</t>
        </is>
      </c>
      <c r="J17" s="21" t="n">
        <v>1000</v>
      </c>
      <c r="K17" s="19" t="inlineStr">
        <is>
          <t>full 21k-item catalog</t>
        </is>
      </c>
      <c r="L17" s="17" t="n">
        <v>4</v>
      </c>
      <c r="M17" s="17" t="n">
        <v>3</v>
      </c>
      <c r="N17" s="19" t="inlineStr">
        <is>
          <t>ONE-WAY: Steam wallet cannot cash out - only worth it for money you'd spend on Steam anyway</t>
        </is>
      </c>
      <c r="O17" s="19" t="inlineStr">
        <is>
          <t>Buy discounted items on Skinport instead of paying Steam prices</t>
        </is>
      </c>
      <c r="P17" s="22" t="n">
        <v>0</v>
      </c>
      <c r="Q17" s="17" t="inlineStr">
        <is>
          <t>2026-08-17T08:42:10Z</t>
        </is>
      </c>
      <c r="R17" s="15" t="n">
        <v>5.5</v>
      </c>
      <c r="S17" s="15" t="n">
        <v>3</v>
      </c>
      <c r="T17" s="15" t="n">
        <v>4.5</v>
      </c>
      <c r="U17" s="15" t="n">
        <v>8</v>
      </c>
      <c r="V17" s="15" t="n">
        <v>6</v>
      </c>
      <c r="W17" s="16">
        <f>$S$2*R17+$T$2*S17+$U$2*T17+$V$2*U17-$W$2*V17</f>
        <v/>
      </c>
    </row>
    <row r="18">
      <c r="A18" s="17" t="n">
        <v>15</v>
      </c>
      <c r="B18" s="18" t="n">
        <v>3.84</v>
      </c>
      <c r="C18" s="17" t="inlineStr">
        <is>
          <t>DeFi rate arbitrage</t>
        </is>
      </c>
      <c r="D18" s="19" t="inlineStr">
        <is>
          <t>Borrow-lend spread: USDC on Solana</t>
        </is>
      </c>
      <c r="E18" s="17" t="inlineStr">
        <is>
          <t>kamino-lend -&gt; neutral-trade</t>
        </is>
      </c>
      <c r="F18" s="20" t="n">
        <v>8.27</v>
      </c>
      <c r="G18" s="19" t="inlineStr">
        <is>
          <t>% per year on borrowed notional</t>
        </is>
      </c>
      <c r="H18" s="19" t="inlineStr">
        <is>
          <t>instant entry/exit</t>
        </is>
      </c>
      <c r="I18" s="19" t="inlineStr">
        <is>
          <t>continuous</t>
        </is>
      </c>
      <c r="J18" s="21" t="n">
        <v>1364122</v>
      </c>
      <c r="K18" s="19" t="inlineStr">
        <is>
          <t>DefiLlama live rates</t>
        </is>
      </c>
      <c r="L18" s="17" t="n">
        <v>3</v>
      </c>
      <c r="M18" s="17" t="n">
        <v>3</v>
      </c>
      <c r="N18" s="19" t="inlineStr">
        <is>
          <t>Protocol solvency + rate moves + liquidation; obscure lenders = risk premium</t>
        </is>
      </c>
      <c r="O18" s="19" t="inlineStr">
        <is>
          <t>Borrow USDC at 2.29% on kamino-lend, lend at 10.56% on neutral-trade</t>
        </is>
      </c>
      <c r="P18" s="22" t="n">
        <v>1.6</v>
      </c>
      <c r="Q18" s="17" t="inlineStr">
        <is>
          <t>2026-08-17T08:42:10Z</t>
        </is>
      </c>
      <c r="R18" s="15" t="n">
        <v>1.7</v>
      </c>
      <c r="S18" s="15" t="n">
        <v>9</v>
      </c>
      <c r="T18" s="15" t="n">
        <v>9.199999999999999</v>
      </c>
      <c r="U18" s="15" t="n">
        <v>6</v>
      </c>
      <c r="V18" s="15" t="n">
        <v>6</v>
      </c>
      <c r="W18" s="16">
        <f>$S$2*R18+$T$2*S18+$U$2*T18+$V$2*U18-$W$2*V18</f>
        <v/>
      </c>
    </row>
    <row r="19">
      <c r="A19" s="17" t="n">
        <v>16</v>
      </c>
      <c r="B19" s="18" t="n">
        <v>3.82</v>
      </c>
      <c r="C19" s="17" t="inlineStr">
        <is>
          <t>Prediction structural</t>
        </is>
      </c>
      <c r="D19" s="19" t="inlineStr">
        <is>
          <t>Ladder violation: Will Solana reach $320 by December 31, 2</t>
        </is>
      </c>
      <c r="E19" s="17" t="inlineStr">
        <is>
          <t>Polymarket</t>
        </is>
      </c>
      <c r="F19" s="20" t="n">
        <v>1.11</v>
      </c>
      <c r="G19" s="19" t="inlineStr">
        <is>
          <t>% locked at fill</t>
        </is>
      </c>
      <c r="H19" s="19" t="inlineStr">
        <is>
          <t>instant fill; pays at resolution</t>
        </is>
      </c>
      <c r="I19" s="19" t="inlineStr">
        <is>
          <t>when flagged (few/week)</t>
        </is>
      </c>
      <c r="J19" s="21" t="n">
        <v>50</v>
      </c>
      <c r="K19" s="19" t="inlineStr">
        <is>
          <t>live CLOB depth</t>
        </is>
      </c>
      <c r="L19" s="17" t="n">
        <v>4</v>
      </c>
      <c r="M19" s="17" t="n">
        <v>1</v>
      </c>
      <c r="N19" s="19" t="inlineStr">
        <is>
          <t>Riskless at fill; capital returns at event resolution; ~$50 size</t>
        </is>
      </c>
      <c r="O19" s="19" t="inlineStr">
        <is>
          <t>Buy YES weaker strike + NO stronger strike for &lt; $1/set; min payout $1, $2 if between strikes</t>
        </is>
      </c>
      <c r="P19" s="22" t="n">
        <v>2</v>
      </c>
      <c r="Q19" s="17" t="inlineStr">
        <is>
          <t>2026-08-17T04:43:00Z</t>
        </is>
      </c>
      <c r="R19" s="15" t="n">
        <v>4.3</v>
      </c>
      <c r="S19" s="15" t="n">
        <v>3</v>
      </c>
      <c r="T19" s="15" t="n">
        <v>2.5</v>
      </c>
      <c r="U19" s="15" t="n">
        <v>8</v>
      </c>
      <c r="V19" s="15" t="n">
        <v>2</v>
      </c>
      <c r="W19" s="16">
        <f>$S$2*R19+$T$2*S19+$U$2*T19+$V$2*U19-$W$2*V19</f>
        <v/>
      </c>
    </row>
    <row r="20">
      <c r="A20" s="15" t="n">
        <v>17</v>
      </c>
      <c r="B20" s="23" t="n">
        <v>3.78</v>
      </c>
      <c r="C20" s="15" t="inlineStr">
        <is>
          <t>P2P fiat corridor</t>
        </is>
      </c>
      <c r="D20" s="24" t="inlineStr">
        <is>
          <t>EUR clean same-platform loop</t>
        </is>
      </c>
      <c r="E20" s="15" t="inlineStr">
        <is>
          <t>OKX P2P (Dukascopy legs)</t>
        </is>
      </c>
      <c r="F20" s="16" t="n">
        <v>0.34</v>
      </c>
      <c r="G20" s="24" t="inlineStr">
        <is>
          <t>% per cycle</t>
        </is>
      </c>
      <c r="H20" s="24" t="inlineStr">
        <is>
          <t>10-30 min per leg</t>
        </is>
      </c>
      <c r="I20" s="24" t="inlineStr">
        <is>
          <t>5-15</t>
        </is>
      </c>
      <c r="J20" s="25" t="n">
        <v>5000</v>
      </c>
      <c r="K20" s="24" t="inlineStr">
        <is>
          <t>live books</t>
        </is>
      </c>
      <c r="L20" s="15" t="n">
        <v>4</v>
      </c>
      <c r="M20" s="15" t="n">
        <v>3</v>
      </c>
      <c r="N20" s="24" t="inlineStr">
        <is>
          <t>Thin EUR books; above-fair offers are fraud bait (mule risk) - trade only at fair prices</t>
        </is>
      </c>
      <c r="O20" s="24" t="inlineStr">
        <is>
          <t>Buy/sell USDT vs EUR on same payment platform at the clean spread</t>
        </is>
      </c>
      <c r="P20" s="26" t="n">
        <v>5</v>
      </c>
      <c r="Q20" s="15" t="inlineStr">
        <is>
          <t>2026-08-17T08:42:10Z</t>
        </is>
      </c>
      <c r="R20" s="15" t="n">
        <v>3.2</v>
      </c>
      <c r="S20" s="15" t="n">
        <v>6</v>
      </c>
      <c r="T20" s="15" t="n">
        <v>5.5</v>
      </c>
      <c r="U20" s="15" t="n">
        <v>8</v>
      </c>
      <c r="V20" s="15" t="n">
        <v>6</v>
      </c>
      <c r="W20" s="16">
        <f>$S$2*R20+$T$2*S20+$U$2*T20+$V$2*U20-$W$2*V20</f>
        <v/>
      </c>
    </row>
    <row r="21">
      <c r="A21" s="15" t="n">
        <v>18</v>
      </c>
      <c r="B21" s="23" t="n">
        <v>3.75</v>
      </c>
      <c r="C21" s="15" t="inlineStr">
        <is>
          <t>Prediction structural</t>
        </is>
      </c>
      <c r="D21" s="24" t="inlineStr">
        <is>
          <t>Ladder violation: Will Solana reach $300 by December 31, 2</t>
        </is>
      </c>
      <c r="E21" s="15" t="inlineStr">
        <is>
          <t>Polymarket</t>
        </is>
      </c>
      <c r="F21" s="16" t="n">
        <v>0.91</v>
      </c>
      <c r="G21" s="24" t="inlineStr">
        <is>
          <t>% locked at fill</t>
        </is>
      </c>
      <c r="H21" s="24" t="inlineStr">
        <is>
          <t>instant fill; pays at resolution</t>
        </is>
      </c>
      <c r="I21" s="24" t="inlineStr">
        <is>
          <t>when flagged (few/week)</t>
        </is>
      </c>
      <c r="J21" s="25" t="n">
        <v>50</v>
      </c>
      <c r="K21" s="24" t="inlineStr">
        <is>
          <t>live CLOB depth</t>
        </is>
      </c>
      <c r="L21" s="15" t="n">
        <v>4</v>
      </c>
      <c r="M21" s="15" t="n">
        <v>1</v>
      </c>
      <c r="N21" s="24" t="inlineStr">
        <is>
          <t>Riskless at fill; capital returns at event resolution; ~$50 size</t>
        </is>
      </c>
      <c r="O21" s="24" t="inlineStr">
        <is>
          <t>Buy YES weaker strike + NO stronger strike for &lt; $1/set; min payout $1, $2 if between strikes</t>
        </is>
      </c>
      <c r="P21" s="26" t="n">
        <v>2</v>
      </c>
      <c r="Q21" s="15" t="inlineStr">
        <is>
          <t>2026-08-17T04:43:00Z</t>
        </is>
      </c>
      <c r="R21" s="15" t="n">
        <v>4.1</v>
      </c>
      <c r="S21" s="15" t="n">
        <v>3</v>
      </c>
      <c r="T21" s="15" t="n">
        <v>2.5</v>
      </c>
      <c r="U21" s="15" t="n">
        <v>8</v>
      </c>
      <c r="V21" s="15" t="n">
        <v>2</v>
      </c>
      <c r="W21" s="16">
        <f>$S$2*R21+$T$2*S21+$U$2*T21+$V$2*U21-$W$2*V21</f>
        <v/>
      </c>
    </row>
    <row r="22">
      <c r="A22" s="15" t="n">
        <v>19</v>
      </c>
      <c r="B22" s="23" t="n">
        <v>3.63</v>
      </c>
      <c r="C22" s="15" t="inlineStr">
        <is>
          <t>Market-making</t>
        </is>
      </c>
      <c r="D22" s="24" t="inlineStr">
        <is>
          <t>Spread capture: RAZORUSDT (mexc)</t>
        </is>
      </c>
      <c r="E22" s="15" t="inlineStr">
        <is>
          <t>mexc</t>
        </is>
      </c>
      <c r="F22" s="16" t="n">
        <v>2.6549</v>
      </c>
      <c r="G22" s="24" t="inlineStr">
        <is>
          <t>% per round trip</t>
        </is>
      </c>
      <c r="H22" s="24" t="inlineStr">
        <is>
          <t>minutes per RT</t>
        </is>
      </c>
      <c r="I22" s="24" t="inlineStr">
        <is>
          <t>10-100 fills</t>
        </is>
      </c>
      <c r="J22" s="25" t="n">
        <v>500</v>
      </c>
      <c r="K22" s="24" t="inlineStr">
        <is>
          <t>live books + trade tape</t>
        </is>
      </c>
      <c r="L22" s="15" t="n">
        <v>3</v>
      </c>
      <c r="M22" s="15" t="n">
        <v>4</v>
      </c>
      <c r="N22" s="24" t="inlineStr">
        <is>
          <t>INVENTORY RISK: one-sided fills accumulate positions; microcaps gap hard; sim showed +/-$90 swings vs $8 capture</t>
        </is>
      </c>
      <c r="O22" s="24" t="inlineStr">
        <is>
          <t>Post maker bid+ask inside the spread (0% maker on MEXC); manage inventory</t>
        </is>
      </c>
      <c r="P22" s="26" t="n">
        <v>15</v>
      </c>
      <c r="Q22" s="15" t="inlineStr">
        <is>
          <t>2026-08-17 08:42 UTC</t>
        </is>
      </c>
      <c r="R22" s="15" t="n">
        <v>5.1</v>
      </c>
      <c r="S22" s="15" t="n">
        <v>8</v>
      </c>
      <c r="T22" s="15" t="n">
        <v>4</v>
      </c>
      <c r="U22" s="15" t="n">
        <v>6</v>
      </c>
      <c r="V22" s="15" t="n">
        <v>8</v>
      </c>
      <c r="W22" s="16">
        <f>$S$2*R22+$T$2*S22+$U$2*T22+$V$2*U22-$W$2*V22</f>
        <v/>
      </c>
    </row>
    <row r="23">
      <c r="A23" s="15" t="n">
        <v>20</v>
      </c>
      <c r="B23" s="23" t="n">
        <v>3.63</v>
      </c>
      <c r="C23" s="15" t="inlineStr">
        <is>
          <t>Market-making</t>
        </is>
      </c>
      <c r="D23" s="24" t="inlineStr">
        <is>
          <t>In-play sports MM (nightly games)</t>
        </is>
      </c>
      <c r="E23" s="15" t="inlineStr">
        <is>
          <t>Polymarket</t>
        </is>
      </c>
      <c r="F23" s="16" t="n">
        <v>1.5</v>
      </c>
      <c r="G23" s="24" t="inlineStr">
        <is>
          <t>% of mid per round trip</t>
        </is>
      </c>
      <c r="H23" s="24" t="inlineStr">
        <is>
          <t>seconds-minutes per RT</t>
        </is>
      </c>
      <c r="I23" s="24" t="inlineStr">
        <is>
          <t>100s during games</t>
        </is>
      </c>
      <c r="J23" s="25" t="n">
        <v>2000</v>
      </c>
      <c r="K23" s="24" t="inlineStr">
        <is>
          <t>CLOB depth + trade tape</t>
        </is>
      </c>
      <c r="L23" s="15" t="n">
        <v>3</v>
      </c>
      <c r="M23" s="15" t="n">
        <v>4</v>
      </c>
      <c r="N23" s="24" t="inlineStr">
        <is>
          <t>Adverse selection on goals/rounds; must pull quotes near resolution; no fees</t>
        </is>
      </c>
      <c r="O23" s="24" t="inlineStr">
        <is>
          <t>Quote both sides of live game books (1-4c spreads, 1000s prints/hr); fresh books daily</t>
        </is>
      </c>
      <c r="P23" s="26" t="n">
        <v>25</v>
      </c>
      <c r="Q23" s="15" t="inlineStr">
        <is>
          <t>2026-08-17 08:42 UTC</t>
        </is>
      </c>
      <c r="R23" s="15" t="n">
        <v>4.6</v>
      </c>
      <c r="S23" s="15" t="n">
        <v>8</v>
      </c>
      <c r="T23" s="15" t="n">
        <v>5</v>
      </c>
      <c r="U23" s="15" t="n">
        <v>6</v>
      </c>
      <c r="V23" s="15" t="n">
        <v>8</v>
      </c>
      <c r="W23" s="16">
        <f>$S$2*R23+$T$2*S23+$U$2*T23+$V$2*U23-$W$2*V23</f>
        <v/>
      </c>
    </row>
    <row r="24">
      <c r="A24" s="15" t="n">
        <v>21</v>
      </c>
      <c r="B24" s="23" t="n">
        <v>3.6</v>
      </c>
      <c r="C24" s="15" t="inlineStr">
        <is>
          <t>Market-making</t>
        </is>
      </c>
      <c r="D24" s="24" t="inlineStr">
        <is>
          <t>Spread capture: MAPO-USDT (kucoin)</t>
        </is>
      </c>
      <c r="E24" s="15" t="inlineStr">
        <is>
          <t>kucoin</t>
        </is>
      </c>
      <c r="F24" s="16" t="n">
        <v>2.234</v>
      </c>
      <c r="G24" s="24" t="inlineStr">
        <is>
          <t>% per round trip</t>
        </is>
      </c>
      <c r="H24" s="24" t="inlineStr">
        <is>
          <t>minutes per RT</t>
        </is>
      </c>
      <c r="I24" s="24" t="inlineStr">
        <is>
          <t>10-100 fills</t>
        </is>
      </c>
      <c r="J24" s="25" t="n">
        <v>500</v>
      </c>
      <c r="K24" s="24" t="inlineStr">
        <is>
          <t>live books + trade tape</t>
        </is>
      </c>
      <c r="L24" s="15" t="n">
        <v>3</v>
      </c>
      <c r="M24" s="15" t="n">
        <v>4</v>
      </c>
      <c r="N24" s="24" t="inlineStr">
        <is>
          <t>INVENTORY RISK: one-sided fills accumulate positions; microcaps gap hard; sim showed +/-$90 swings vs $8 capture</t>
        </is>
      </c>
      <c r="O24" s="24" t="inlineStr">
        <is>
          <t>Post maker bid+ask inside the spread (0% maker on MEXC); manage inventory</t>
        </is>
      </c>
      <c r="P24" s="26" t="n">
        <v>15</v>
      </c>
      <c r="Q24" s="15" t="inlineStr">
        <is>
          <t>2026-08-17 08:42 UTC</t>
        </is>
      </c>
      <c r="R24" s="15" t="n">
        <v>5</v>
      </c>
      <c r="S24" s="15" t="n">
        <v>8</v>
      </c>
      <c r="T24" s="15" t="n">
        <v>4</v>
      </c>
      <c r="U24" s="15" t="n">
        <v>6</v>
      </c>
      <c r="V24" s="15" t="n">
        <v>8</v>
      </c>
      <c r="W24" s="16">
        <f>$S$2*R24+$T$2*S24+$U$2*T24+$V$2*U24-$W$2*V24</f>
        <v/>
      </c>
    </row>
    <row r="25">
      <c r="A25" s="15" t="n">
        <v>22</v>
      </c>
      <c r="B25" s="23" t="n">
        <v>3.54</v>
      </c>
      <c r="C25" s="15" t="inlineStr">
        <is>
          <t>Market-making</t>
        </is>
      </c>
      <c r="D25" s="24" t="inlineStr">
        <is>
          <t>Spread capture: XPLKUSDT (mexc)</t>
        </is>
      </c>
      <c r="E25" s="15" t="inlineStr">
        <is>
          <t>mexc</t>
        </is>
      </c>
      <c r="F25" s="16" t="n">
        <v>1.9691</v>
      </c>
      <c r="G25" s="24" t="inlineStr">
        <is>
          <t>% per round trip</t>
        </is>
      </c>
      <c r="H25" s="24" t="inlineStr">
        <is>
          <t>minutes per RT</t>
        </is>
      </c>
      <c r="I25" s="24" t="inlineStr">
        <is>
          <t>10-100 fills</t>
        </is>
      </c>
      <c r="J25" s="25" t="n">
        <v>500</v>
      </c>
      <c r="K25" s="24" t="inlineStr">
        <is>
          <t>live books + trade tape</t>
        </is>
      </c>
      <c r="L25" s="15" t="n">
        <v>3</v>
      </c>
      <c r="M25" s="15" t="n">
        <v>4</v>
      </c>
      <c r="N25" s="24" t="inlineStr">
        <is>
          <t>INVENTORY RISK: one-sided fills accumulate positions; microcaps gap hard; sim showed +/-$90 swings vs $8 capture</t>
        </is>
      </c>
      <c r="O25" s="24" t="inlineStr">
        <is>
          <t>Post maker bid+ask inside the spread (0% maker on MEXC); manage inventory</t>
        </is>
      </c>
      <c r="P25" s="26" t="n">
        <v>15</v>
      </c>
      <c r="Q25" s="15" t="inlineStr">
        <is>
          <t>2026-08-17 08:42 UTC</t>
        </is>
      </c>
      <c r="R25" s="15" t="n">
        <v>4.8</v>
      </c>
      <c r="S25" s="15" t="n">
        <v>8</v>
      </c>
      <c r="T25" s="15" t="n">
        <v>4</v>
      </c>
      <c r="U25" s="15" t="n">
        <v>6</v>
      </c>
      <c r="V25" s="15" t="n">
        <v>8</v>
      </c>
      <c r="W25" s="16">
        <f>$S$2*R25+$T$2*S25+$U$2*T25+$V$2*U25-$W$2*V25</f>
        <v/>
      </c>
    </row>
    <row r="26">
      <c r="A26" s="15" t="n">
        <v>23</v>
      </c>
      <c r="B26" s="23" t="n">
        <v>3.51</v>
      </c>
      <c r="C26" s="15" t="inlineStr">
        <is>
          <t>Fixed-rate lock</t>
        </is>
      </c>
      <c r="D26" s="24" t="inlineStr">
        <is>
          <t>Pendle PT stable yields (best liquid: 14-18% APY)</t>
        </is>
      </c>
      <c r="E26" s="15" t="inlineStr">
        <is>
          <t>Pendle (Ethereum)</t>
        </is>
      </c>
      <c r="F26" s="16" t="n">
        <v>16</v>
      </c>
      <c r="G26" s="24" t="inlineStr">
        <is>
          <t>% APY fixed at purchase</t>
        </is>
      </c>
      <c r="H26" s="24" t="inlineStr">
        <is>
          <t>instant buy; hold to maturity</t>
        </is>
      </c>
      <c r="I26" s="24" t="inlineStr">
        <is>
          <t>monthly (new maturities)</t>
        </is>
      </c>
      <c r="J26" s="25" t="n">
        <v>5000000</v>
      </c>
      <c r="K26" s="24" t="inlineStr">
        <is>
          <t>Pendle API implied APY</t>
        </is>
      </c>
      <c r="L26" s="15" t="n">
        <v>3</v>
      </c>
      <c r="M26" s="15" t="n">
        <v>3</v>
      </c>
      <c r="N26" s="24" t="inlineStr">
        <is>
          <t>Underlying protocol/stablecoin solvency is the paid risk; yield locked only to maturity</t>
        </is>
      </c>
      <c r="O26" s="24" t="inlineStr">
        <is>
          <t>Buy discounted principal token, redeem at par at maturity</t>
        </is>
      </c>
      <c r="P26" s="26" t="n">
        <v>4.4</v>
      </c>
      <c r="Q26" s="15" t="inlineStr">
        <is>
          <t>2026-08-17 08:42 UTC</t>
        </is>
      </c>
      <c r="R26" s="15" t="n">
        <v>3.2</v>
      </c>
      <c r="S26" s="15" t="n">
        <v>3</v>
      </c>
      <c r="T26" s="15" t="n">
        <v>10</v>
      </c>
      <c r="U26" s="15" t="n">
        <v>6</v>
      </c>
      <c r="V26" s="15" t="n">
        <v>6</v>
      </c>
      <c r="W26" s="16">
        <f>$S$2*R26+$T$2*S26+$U$2*T26+$V$2*U26-$W$2*V26</f>
        <v/>
      </c>
    </row>
    <row r="27">
      <c r="A27" s="15" t="n">
        <v>24</v>
      </c>
      <c r="B27" s="23" t="n">
        <v>3.04</v>
      </c>
      <c r="C27" s="15" t="inlineStr">
        <is>
          <t>P2P fiat corridor</t>
        </is>
      </c>
      <c r="D27" s="24" t="inlineStr">
        <is>
          <t>Ukraine in-country loop (PrivatBank both legs)</t>
        </is>
      </c>
      <c r="E27" s="15" t="inlineStr">
        <is>
          <t>OKX P2P</t>
        </is>
      </c>
      <c r="F27" s="16" t="n">
        <v>2.8</v>
      </c>
      <c r="G27" s="24" t="inlineStr">
        <is>
          <t>% per cycle</t>
        </is>
      </c>
      <c r="H27" s="24" t="inlineStr">
        <is>
          <t>5-15 min per leg</t>
        </is>
      </c>
      <c r="I27" s="24" t="inlineStr">
        <is>
          <t>20-40</t>
        </is>
      </c>
      <c r="J27" s="25" t="n">
        <v>20000</v>
      </c>
      <c r="K27" s="24" t="inlineStr">
        <is>
          <t>offer-level check incl. depth+banks</t>
        </is>
      </c>
      <c r="L27" s="27" t="n">
        <v>1</v>
      </c>
      <c r="M27" s="15" t="n">
        <v>3</v>
      </c>
      <c r="N27" s="24" t="inlineStr">
        <is>
          <t>REQUIRES Ukrainian bank rails - not executable from Greece; counterparty/chargeback risk</t>
        </is>
      </c>
      <c r="O27" s="24" t="inlineStr">
        <is>
          <t>Buy USDT from merchant A, sell to merchant B, same bank transfers</t>
        </is>
      </c>
      <c r="P27" s="26" t="n">
        <v>0</v>
      </c>
      <c r="Q27" s="15" t="inlineStr">
        <is>
          <t>2026-08-17T08:42:10Z</t>
        </is>
      </c>
      <c r="R27" s="15" t="n">
        <v>5.2</v>
      </c>
      <c r="S27" s="15" t="n">
        <v>6</v>
      </c>
      <c r="T27" s="15" t="n">
        <v>6.5</v>
      </c>
      <c r="U27" s="15" t="n">
        <v>2</v>
      </c>
      <c r="V27" s="15" t="n">
        <v>6</v>
      </c>
      <c r="W27" s="16">
        <f>$S$2*R27+$T$2*S27+$U$2*T27+$V$2*U27-$W$2*V27</f>
        <v/>
      </c>
    </row>
    <row r="28">
      <c r="A28" s="15" t="n">
        <v>25</v>
      </c>
      <c r="B28" s="23" t="n">
        <v>2.98</v>
      </c>
      <c r="C28" s="15" t="inlineStr">
        <is>
          <t>Locked carry</t>
        </is>
      </c>
      <c r="D28" s="24" t="inlineStr">
        <is>
          <t>Delivery basis: WLD_USDT_20260821</t>
        </is>
      </c>
      <c r="E28" s="15" t="inlineStr">
        <is>
          <t>Gate futures</t>
        </is>
      </c>
      <c r="F28" s="16" t="n">
        <v>8.52</v>
      </c>
      <c r="G28" s="24" t="inlineStr">
        <is>
          <t>% APR locked to expiry</t>
        </is>
      </c>
      <c r="H28" s="24" t="inlineStr">
        <is>
          <t>4.1d to delivery</t>
        </is>
      </c>
      <c r="I28" s="24" t="inlineStr">
        <is>
          <t>weekly (new contracts)</t>
        </is>
      </c>
      <c r="J28" s="25" t="n">
        <v>100000</v>
      </c>
      <c r="K28" s="24" t="inlineStr">
        <is>
          <t>mark vs spot mid</t>
        </is>
      </c>
      <c r="L28" s="15" t="n">
        <v>3</v>
      </c>
      <c r="M28" s="15" t="n">
        <v>2</v>
      </c>
      <c r="N28" s="24" t="inlineStr">
        <is>
          <t>Margin on short leg; locked only if held to delivery</t>
        </is>
      </c>
      <c r="O28" s="24" t="inlineStr">
        <is>
          <t>Buy spot + short dated future; converge at delivery regardless of price</t>
        </is>
      </c>
      <c r="P28" s="26" t="n">
        <v>2.3</v>
      </c>
      <c r="Q28" s="15" t="inlineStr">
        <is>
          <t>2026-08-17T04:43:00Z</t>
        </is>
      </c>
      <c r="R28" s="15" t="n">
        <v>1.7</v>
      </c>
      <c r="S28" s="15" t="n">
        <v>3</v>
      </c>
      <c r="T28" s="15" t="n">
        <v>7.5</v>
      </c>
      <c r="U28" s="15" t="n">
        <v>6</v>
      </c>
      <c r="V28" s="15" t="n">
        <v>4</v>
      </c>
      <c r="W28" s="16">
        <f>$S$2*R28+$T$2*S28+$U$2*T28+$V$2*U28-$W$2*V28</f>
        <v/>
      </c>
    </row>
    <row r="29">
      <c r="A29" s="15" t="n">
        <v>26</v>
      </c>
      <c r="B29" s="23" t="n">
        <v>2.98</v>
      </c>
      <c r="C29" s="15" t="inlineStr">
        <is>
          <t>Dislocation monitor</t>
        </is>
      </c>
      <c r="D29" s="24" t="inlineStr">
        <is>
          <t>Stablecoin depeg / triangle / CEX-DEX watchlist</t>
        </is>
      </c>
      <c r="E29" s="15" t="inlineStr">
        <is>
          <t>11 CEX + Jupiter + books</t>
        </is>
      </c>
      <c r="F29" s="16" t="n">
        <v>0</v>
      </c>
      <c r="G29" s="24" t="inlineStr">
        <is>
          <t>% now; 1-30% in stress events</t>
        </is>
      </c>
      <c r="H29" s="24" t="inlineStr">
        <is>
          <t>seconds when open</t>
        </is>
      </c>
      <c r="I29" s="24" t="inlineStr">
        <is>
          <t>rare, event-driven</t>
        </is>
      </c>
      <c r="J29" s="25" t="n">
        <v>100000</v>
      </c>
      <c r="K29" s="24" t="inlineStr">
        <is>
          <t>6 scanners, order-book verified</t>
        </is>
      </c>
      <c r="L29" s="15" t="n">
        <v>4</v>
      </c>
      <c r="M29" s="15" t="n">
        <v>2</v>
      </c>
      <c r="N29" s="24" t="inlineStr">
        <is>
          <t>The USDC depeg (Mar 2023) paid 3-8% riskless for a weekend to whoever was ready; loops all negative at rest</t>
        </is>
      </c>
      <c r="O29" s="24" t="inlineStr">
        <is>
          <t>Run the scanner loop; act only when it flags a verified positive</t>
        </is>
      </c>
      <c r="P29" s="26" t="n">
        <v>0</v>
      </c>
      <c r="Q29" s="15" t="inlineStr">
        <is>
          <t>2026-08-17 08:42 UTC</t>
        </is>
      </c>
      <c r="R29" s="15" t="n">
        <v>0</v>
      </c>
      <c r="S29" s="15" t="n">
        <v>3</v>
      </c>
      <c r="T29" s="15" t="n">
        <v>7.5</v>
      </c>
      <c r="U29" s="15" t="n">
        <v>8</v>
      </c>
      <c r="V29" s="15" t="n">
        <v>4</v>
      </c>
      <c r="W29" s="16">
        <f>$S$2*R29+$T$2*S29+$U$2*T29+$V$2*U29-$W$2*V29</f>
        <v/>
      </c>
    </row>
    <row r="30">
      <c r="A30" s="15" t="n">
        <v>27</v>
      </c>
      <c r="B30" s="23" t="n">
        <v>2.86</v>
      </c>
      <c r="C30" s="15" t="inlineStr">
        <is>
          <t>Locked carry</t>
        </is>
      </c>
      <c r="D30" s="24" t="inlineStr">
        <is>
          <t>Delivery basis: UNI_USDT_20260821</t>
        </is>
      </c>
      <c r="E30" s="15" t="inlineStr">
        <is>
          <t>Gate futures</t>
        </is>
      </c>
      <c r="F30" s="16" t="n">
        <v>6.72</v>
      </c>
      <c r="G30" s="24" t="inlineStr">
        <is>
          <t>% APR locked to expiry</t>
        </is>
      </c>
      <c r="H30" s="24" t="inlineStr">
        <is>
          <t>4.1d to delivery</t>
        </is>
      </c>
      <c r="I30" s="24" t="inlineStr">
        <is>
          <t>weekly (new contracts)</t>
        </is>
      </c>
      <c r="J30" s="25" t="n">
        <v>100000</v>
      </c>
      <c r="K30" s="24" t="inlineStr">
        <is>
          <t>mark vs spot mid</t>
        </is>
      </c>
      <c r="L30" s="15" t="n">
        <v>3</v>
      </c>
      <c r="M30" s="15" t="n">
        <v>2</v>
      </c>
      <c r="N30" s="24" t="inlineStr">
        <is>
          <t>Margin on short leg; locked only if held to delivery</t>
        </is>
      </c>
      <c r="O30" s="24" t="inlineStr">
        <is>
          <t>Buy spot + short dated future; converge at delivery regardless of price</t>
        </is>
      </c>
      <c r="P30" s="26" t="n">
        <v>1.8</v>
      </c>
      <c r="Q30" s="15" t="inlineStr">
        <is>
          <t>2026-08-17T04:43:00Z</t>
        </is>
      </c>
      <c r="R30" s="15" t="n">
        <v>1.3</v>
      </c>
      <c r="S30" s="15" t="n">
        <v>3</v>
      </c>
      <c r="T30" s="15" t="n">
        <v>7.5</v>
      </c>
      <c r="U30" s="15" t="n">
        <v>6</v>
      </c>
      <c r="V30" s="15" t="n">
        <v>4</v>
      </c>
      <c r="W30" s="16">
        <f>$S$2*R30+$T$2*S30+$U$2*T30+$V$2*U30-$W$2*V30</f>
        <v/>
      </c>
    </row>
    <row r="31">
      <c r="A31" s="15" t="n">
        <v>28</v>
      </c>
      <c r="B31" s="23" t="n">
        <v>2.83</v>
      </c>
      <c r="C31" s="15" t="inlineStr">
        <is>
          <t>Locked carry</t>
        </is>
      </c>
      <c r="D31" s="24" t="inlineStr">
        <is>
          <t>Delivery basis: WLD_USDT_20260828</t>
        </is>
      </c>
      <c r="E31" s="15" t="inlineStr">
        <is>
          <t>Gate futures</t>
        </is>
      </c>
      <c r="F31" s="16" t="n">
        <v>5.87</v>
      </c>
      <c r="G31" s="24" t="inlineStr">
        <is>
          <t>% APR locked to expiry</t>
        </is>
      </c>
      <c r="H31" s="24" t="inlineStr">
        <is>
          <t>11.1d to delivery</t>
        </is>
      </c>
      <c r="I31" s="24" t="inlineStr">
        <is>
          <t>weekly (new contracts)</t>
        </is>
      </c>
      <c r="J31" s="25" t="n">
        <v>100000</v>
      </c>
      <c r="K31" s="24" t="inlineStr">
        <is>
          <t>mark vs spot mid</t>
        </is>
      </c>
      <c r="L31" s="15" t="n">
        <v>3</v>
      </c>
      <c r="M31" s="15" t="n">
        <v>2</v>
      </c>
      <c r="N31" s="24" t="inlineStr">
        <is>
          <t>Margin on short leg; locked only if held to delivery</t>
        </is>
      </c>
      <c r="O31" s="24" t="inlineStr">
        <is>
          <t>Buy spot + short dated future; converge at delivery regardless of price</t>
        </is>
      </c>
      <c r="P31" s="26" t="n">
        <v>1.6</v>
      </c>
      <c r="Q31" s="15" t="inlineStr">
        <is>
          <t>2026-08-17T04:43:00Z</t>
        </is>
      </c>
      <c r="R31" s="15" t="n">
        <v>1.2</v>
      </c>
      <c r="S31" s="15" t="n">
        <v>3</v>
      </c>
      <c r="T31" s="15" t="n">
        <v>7.5</v>
      </c>
      <c r="U31" s="15" t="n">
        <v>6</v>
      </c>
      <c r="V31" s="15" t="n">
        <v>4</v>
      </c>
      <c r="W31" s="16">
        <f>$S$2*R31+$T$2*S31+$U$2*T31+$V$2*U31-$W$2*V31</f>
        <v/>
      </c>
    </row>
    <row r="32">
      <c r="A32" s="15" t="n">
        <v>29</v>
      </c>
      <c r="B32" s="23" t="n">
        <v>1.77</v>
      </c>
      <c r="C32" s="15" t="inlineStr">
        <is>
          <t>Cross-market relative value</t>
        </is>
      </c>
      <c r="D32" s="24" t="inlineStr">
        <is>
          <t>BTC digital: Polymarket vs Deribit options</t>
        </is>
      </c>
      <c r="E32" s="15" t="inlineStr">
        <is>
          <t>Polymarket + Deribit</t>
        </is>
      </c>
      <c r="F32" s="16" t="n">
        <v>5.1</v>
      </c>
      <c r="G32" s="24" t="inlineStr">
        <is>
          <t>prob-points gap</t>
        </is>
      </c>
      <c r="H32" s="24" t="inlineStr">
        <is>
          <t>hours-days</t>
        </is>
      </c>
      <c r="I32" s="24" t="inlineStr">
        <is>
          <t>daily (new expiries)</t>
        </is>
      </c>
      <c r="J32" s="25" t="n">
        <v>5000</v>
      </c>
      <c r="K32" s="24" t="inlineStr">
        <is>
          <t>options marks vs CLOB</t>
        </is>
      </c>
      <c r="L32" s="15" t="n">
        <v>2</v>
      </c>
      <c r="M32" s="15" t="n">
        <v>3</v>
      </c>
      <c r="N32" s="24" t="inlineStr">
        <is>
          <t>Hedged not riskless: 9h resolution-time gap, different price feeds</t>
        </is>
      </c>
      <c r="O32" s="24" t="inlineStr">
        <is>
          <t>Buy cheap PM digital, hedge with Deribit call spread at same strike</t>
        </is>
      </c>
      <c r="P32" s="26" t="n">
        <v>10</v>
      </c>
      <c r="Q32" s="15" t="inlineStr">
        <is>
          <t>2026-08-17T04:43:00Z</t>
        </is>
      </c>
      <c r="R32" s="15" t="n">
        <v>1.3</v>
      </c>
      <c r="S32" s="15" t="n">
        <v>3</v>
      </c>
      <c r="T32" s="15" t="n">
        <v>5.5</v>
      </c>
      <c r="U32" s="15" t="n">
        <v>4</v>
      </c>
      <c r="V32" s="15" t="n">
        <v>6</v>
      </c>
      <c r="W32" s="16">
        <f>$S$2*R32+$T$2*S32+$U$2*T32+$V$2*U32-$W$2*V32</f>
        <v/>
      </c>
    </row>
    <row r="33">
      <c r="A33" s="15" t="n">
        <v>30</v>
      </c>
      <c r="B33" s="23" t="n">
        <v>1.52</v>
      </c>
      <c r="C33" s="15" t="inlineStr">
        <is>
          <t>P2P fiat corridor</t>
        </is>
      </c>
      <c r="D33" s="24" t="inlineStr">
        <is>
          <t>Venezuela structural premium (VES)</t>
        </is>
      </c>
      <c r="E33" s="15" t="inlineStr">
        <is>
          <t>OKX P2P vs official FX</t>
        </is>
      </c>
      <c r="F33" s="16" t="n">
        <v>11.45</v>
      </c>
      <c r="G33" s="24" t="inlineStr">
        <is>
          <t>% premium per corridor pass</t>
        </is>
      </c>
      <c r="H33" s="24" t="inlineStr">
        <is>
          <t>hours</t>
        </is>
      </c>
      <c r="I33" s="24" t="inlineStr">
        <is>
          <t>daily</t>
        </is>
      </c>
      <c r="J33" s="25" t="n">
        <v>10000</v>
      </c>
      <c r="K33" s="24" t="inlineStr">
        <is>
          <t>P2P books vs FX fix</t>
        </is>
      </c>
      <c r="L33" s="27" t="n">
        <v>1</v>
      </c>
      <c r="M33" s="15" t="n">
        <v>4</v>
      </c>
      <c r="N33" s="24" t="inlineStr">
        <is>
          <t>Needs banking on both corridor ends; AML/licensing if done commercially</t>
        </is>
      </c>
      <c r="O33" s="24" t="inlineStr">
        <is>
          <t>Structural: USD in, sell USDT locally at premium</t>
        </is>
      </c>
      <c r="P33" s="26" t="n">
        <v>0</v>
      </c>
      <c r="Q33" s="15" t="inlineStr">
        <is>
          <t>2026-08-17T08:42:10Z</t>
        </is>
      </c>
      <c r="R33" s="15" t="n">
        <v>2.9</v>
      </c>
      <c r="S33" s="15" t="n">
        <v>3</v>
      </c>
      <c r="T33" s="15" t="n">
        <v>6</v>
      </c>
      <c r="U33" s="15" t="n">
        <v>2</v>
      </c>
      <c r="V33" s="15" t="n">
        <v>8</v>
      </c>
      <c r="W33" s="16">
        <f>$S$2*R33+$T$2*S33+$U$2*T33+$V$2*U33-$W$2*V33</f>
        <v/>
      </c>
    </row>
    <row r="34">
      <c r="A34" s="15" t="n">
        <v>31</v>
      </c>
      <c r="B34" s="23" t="n">
        <v>1.1</v>
      </c>
      <c r="C34" s="15" t="inlineStr">
        <is>
          <t>P2P fiat corridor</t>
        </is>
      </c>
      <c r="D34" s="24" t="inlineStr">
        <is>
          <t>Argentina premium (ARS)</t>
        </is>
      </c>
      <c r="E34" s="15" t="inlineStr">
        <is>
          <t>OKX P2P vs official FX</t>
        </is>
      </c>
      <c r="F34" s="16" t="n">
        <v>6</v>
      </c>
      <c r="G34" s="24" t="inlineStr">
        <is>
          <t>% premium per corridor pass</t>
        </is>
      </c>
      <c r="H34" s="24" t="inlineStr">
        <is>
          <t>hours</t>
        </is>
      </c>
      <c r="I34" s="24" t="inlineStr">
        <is>
          <t>daily</t>
        </is>
      </c>
      <c r="J34" s="25" t="n">
        <v>10000</v>
      </c>
      <c r="K34" s="24" t="inlineStr">
        <is>
          <t>P2P books vs FX fix</t>
        </is>
      </c>
      <c r="L34" s="27" t="n">
        <v>1</v>
      </c>
      <c r="M34" s="15" t="n">
        <v>4</v>
      </c>
      <c r="N34" s="24" t="inlineStr">
        <is>
          <t>Needs banking on both corridor ends; AML/licensing if done commercially</t>
        </is>
      </c>
      <c r="O34" s="24" t="inlineStr">
        <is>
          <t>Structural: USD in, sell USDT locally at premium</t>
        </is>
      </c>
      <c r="P34" s="26" t="n">
        <v>0</v>
      </c>
      <c r="Q34" s="15" t="inlineStr">
        <is>
          <t>2026-08-17T08:42:10Z</t>
        </is>
      </c>
      <c r="R34" s="15" t="n">
        <v>1.5</v>
      </c>
      <c r="S34" s="15" t="n">
        <v>3</v>
      </c>
      <c r="T34" s="15" t="n">
        <v>6</v>
      </c>
      <c r="U34" s="15" t="n">
        <v>2</v>
      </c>
      <c r="V34" s="15" t="n">
        <v>8</v>
      </c>
      <c r="W34" s="16">
        <f>$S$2*R34+$T$2*S34+$U$2*T34+$V$2*U34-$W$2*V34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5" customWidth="1" min="3" max="3"/>
    <col width="16" customWidth="1" min="4" max="4"/>
    <col width="19" customWidth="1" min="5" max="5"/>
    <col width="14" customWidth="1" min="6" max="6"/>
    <col width="17" customWidth="1" min="7" max="7"/>
    <col width="20" customWidth="1" min="8" max="8"/>
    <col width="12" customWidth="1" min="9" max="9"/>
  </cols>
  <sheetData>
    <row r="1">
      <c r="A1" s="28" t="inlineStr">
        <is>
          <t>Event</t>
        </is>
      </c>
      <c r="B1" s="28" t="inlineStr">
        <is>
          <t>Outcomes</t>
        </is>
      </c>
      <c r="C1" s="28" t="inlineStr">
        <is>
          <t>Sum YES bids (live)</t>
        </is>
      </c>
      <c r="D1" s="28" t="inlineStr">
        <is>
          <t>Edge $/set</t>
        </is>
      </c>
      <c r="E1" s="28" t="inlineStr">
        <is>
          <t>Capital $/set</t>
        </is>
      </c>
      <c r="F1" s="28" t="inlineStr">
        <is>
          <t>Return %</t>
        </is>
      </c>
      <c r="G1" s="28" t="inlineStr">
        <is>
          <t>Sets at top</t>
        </is>
      </c>
      <c r="H1" s="28" t="inlineStr">
        <is>
          <t>Profit $/cycle</t>
        </is>
      </c>
      <c r="I1" s="28" t="inlineStr">
        <is>
          <t>Status</t>
        </is>
      </c>
    </row>
    <row r="2">
      <c r="A2" s="29" t="inlineStr">
        <is>
          <t>Beşiktaş JK vs. FK Kauno Žalgiris</t>
        </is>
      </c>
      <c r="B2" s="29" t="n">
        <v>3</v>
      </c>
      <c r="C2" s="29" t="n">
        <v>1.011</v>
      </c>
      <c r="D2" s="29" t="n">
        <v>0.011</v>
      </c>
      <c r="E2" s="29" t="n">
        <v>1.989</v>
      </c>
      <c r="F2" s="29" t="n">
        <v>0.553</v>
      </c>
      <c r="G2" s="29" t="n">
        <v>5</v>
      </c>
      <c r="H2" s="29" t="n">
        <v>0.06</v>
      </c>
      <c r="I2" s="29" t="inlineStr">
        <is>
          <t>ok</t>
        </is>
      </c>
    </row>
    <row r="3">
      <c r="A3" s="29" t="inlineStr">
        <is>
          <t>RC Celta de Vigo vs. CA Osasuna</t>
        </is>
      </c>
      <c r="B3" s="29" t="n">
        <v>3</v>
      </c>
      <c r="C3" s="29" t="n">
        <v>1.01</v>
      </c>
      <c r="D3" s="29" t="n">
        <v>0.01</v>
      </c>
      <c r="E3" s="29" t="n">
        <v>1.99</v>
      </c>
      <c r="F3" s="29" t="n">
        <v>0.503</v>
      </c>
      <c r="G3" s="29" t="n">
        <v>58.1</v>
      </c>
      <c r="H3" s="29" t="n">
        <v>0.58</v>
      </c>
      <c r="I3" s="29" t="inlineStr">
        <is>
          <t>ok</t>
        </is>
      </c>
    </row>
    <row r="4">
      <c r="A4" s="29" t="inlineStr">
        <is>
          <t>Pro Football: AFC South Champion</t>
        </is>
      </c>
      <c r="B4" s="29" t="n">
        <v>5</v>
      </c>
      <c r="C4" s="29" t="n"/>
      <c r="D4" s="29" t="n"/>
      <c r="E4" s="29" t="n"/>
      <c r="F4" s="29" t="n"/>
      <c r="G4" s="29" t="n"/>
      <c r="H4" s="29" t="n"/>
      <c r="I4" s="29" t="inlineStr">
        <is>
          <t>book_unavailable</t>
        </is>
      </c>
    </row>
    <row r="5">
      <c r="A5" s="29" t="inlineStr">
        <is>
          <t>Fed Decision in December?</t>
        </is>
      </c>
      <c r="B5" s="29" t="n">
        <v>5</v>
      </c>
      <c r="C5" s="29" t="n">
        <v>1.01</v>
      </c>
      <c r="D5" s="29" t="n">
        <v>0.01</v>
      </c>
      <c r="E5" s="29" t="n">
        <v>3.99</v>
      </c>
      <c r="F5" s="29" t="n">
        <v>0.251</v>
      </c>
      <c r="G5" s="29" t="n">
        <v>827</v>
      </c>
      <c r="H5" s="29" t="n">
        <v>8.27</v>
      </c>
      <c r="I5" s="29" t="inlineStr">
        <is>
          <t>ok</t>
        </is>
      </c>
    </row>
    <row r="6">
      <c r="A6" s="29" t="inlineStr">
        <is>
          <t>Fed Decision in October?</t>
        </is>
      </c>
      <c r="B6" s="29" t="n">
        <v>5</v>
      </c>
      <c r="C6" s="29" t="n">
        <v>1.009</v>
      </c>
      <c r="D6" s="29" t="n">
        <v>0.008999999999999999</v>
      </c>
      <c r="E6" s="29" t="n">
        <v>3.991</v>
      </c>
      <c r="F6" s="29" t="n">
        <v>0.226</v>
      </c>
      <c r="G6" s="29" t="n">
        <v>100</v>
      </c>
      <c r="H6" s="29" t="n">
        <v>0.9</v>
      </c>
      <c r="I6" s="29" t="inlineStr">
        <is>
          <t>ok</t>
        </is>
      </c>
    </row>
    <row r="7">
      <c r="A7" s="29" t="inlineStr">
        <is>
          <t xml:space="preserve">Pro Football: NFC West Champion  </t>
        </is>
      </c>
      <c r="B7" s="29" t="n">
        <v>5</v>
      </c>
      <c r="C7" s="29" t="n"/>
      <c r="D7" s="29" t="n"/>
      <c r="E7" s="29" t="n"/>
      <c r="F7" s="29" t="n"/>
      <c r="G7" s="29" t="n"/>
      <c r="H7" s="29" t="n"/>
      <c r="I7" s="29" t="inlineStr">
        <is>
          <t>book_unavailable</t>
        </is>
      </c>
    </row>
    <row r="8">
      <c r="A8" s="29" t="inlineStr">
        <is>
          <t>Anthropic IPO Closing Market Cap</t>
        </is>
      </c>
      <c r="B8" s="29" t="n">
        <v>10</v>
      </c>
      <c r="C8" s="29" t="n">
        <v>1.017</v>
      </c>
      <c r="D8" s="29" t="n">
        <v>0.017</v>
      </c>
      <c r="E8" s="29" t="n">
        <v>8.983000000000001</v>
      </c>
      <c r="F8" s="29" t="n">
        <v>0.189</v>
      </c>
      <c r="G8" s="29" t="n">
        <v>19</v>
      </c>
      <c r="H8" s="29" t="n">
        <v>0.32</v>
      </c>
      <c r="I8" s="29" t="inlineStr">
        <is>
          <t>ok</t>
        </is>
      </c>
    </row>
    <row r="9">
      <c r="A9" s="29" t="inlineStr">
        <is>
          <t>Los Angeles Mayoral Election</t>
        </is>
      </c>
      <c r="B9" s="29" t="n">
        <v>6</v>
      </c>
      <c r="C9" s="29" t="n"/>
      <c r="D9" s="29" t="n"/>
      <c r="E9" s="29" t="n"/>
      <c r="F9" s="29" t="n"/>
      <c r="G9" s="29" t="n"/>
      <c r="H9" s="29" t="n"/>
      <c r="I9" s="29" t="inlineStr">
        <is>
          <t>book_unavailable</t>
        </is>
      </c>
    </row>
    <row r="10">
      <c r="A10" s="29" t="inlineStr">
        <is>
          <t>NBA: 2027 Eastern Conference Champion</t>
        </is>
      </c>
      <c r="B10" s="29" t="n">
        <v>18</v>
      </c>
      <c r="C10" s="29" t="n"/>
      <c r="D10" s="29" t="n"/>
      <c r="E10" s="29" t="n"/>
      <c r="F10" s="29" t="n"/>
      <c r="G10" s="29" t="n"/>
      <c r="H10" s="29" t="n"/>
      <c r="I10" s="29" t="inlineStr">
        <is>
          <t>book_unavailable</t>
        </is>
      </c>
    </row>
    <row r="11">
      <c r="A11" s="29" t="inlineStr">
        <is>
          <t>2026 Midterms: House Popular Vote Margin of Victory</t>
        </is>
      </c>
      <c r="B11" s="29" t="n">
        <v>14</v>
      </c>
      <c r="C11" s="29" t="n"/>
      <c r="D11" s="29" t="n"/>
      <c r="E11" s="29" t="n"/>
      <c r="F11" s="29" t="n"/>
      <c r="G11" s="29" t="n"/>
      <c r="H11" s="29" t="n"/>
      <c r="I11" s="29" t="inlineStr">
        <is>
          <t>book_unavailable</t>
        </is>
      </c>
    </row>
    <row r="12">
      <c r="A12" s="29" t="inlineStr">
        <is>
          <t>Pro Football: 2027 Champion</t>
        </is>
      </c>
      <c r="B12" s="29" t="n">
        <v>33</v>
      </c>
      <c r="C12" s="29" t="n"/>
      <c r="D12" s="29" t="n"/>
      <c r="E12" s="29" t="n"/>
      <c r="F12" s="29" t="n"/>
      <c r="G12" s="29" t="n"/>
      <c r="H12" s="29" t="n"/>
      <c r="I12" s="29" t="inlineStr">
        <is>
          <t>book_unavailable</t>
        </is>
      </c>
    </row>
    <row r="13">
      <c r="A13" s="29" t="inlineStr">
        <is>
          <t>How many Fed rate cuts in 2026?</t>
        </is>
      </c>
      <c r="B13" s="29" t="n">
        <v>13</v>
      </c>
      <c r="C13" s="29" t="n">
        <v>1.009</v>
      </c>
      <c r="D13" s="29" t="n">
        <v>0.008999999999999999</v>
      </c>
      <c r="E13" s="29" t="n">
        <v>11.991</v>
      </c>
      <c r="F13" s="29" t="n">
        <v>0.075</v>
      </c>
      <c r="G13" s="29" t="n">
        <v>785.5</v>
      </c>
      <c r="H13" s="29" t="n">
        <v>7.07</v>
      </c>
      <c r="I13" s="29" t="inlineStr">
        <is>
          <t>ok</t>
        </is>
      </c>
    </row>
    <row r="14">
      <c r="A14" s="29" t="inlineStr">
        <is>
          <t>NBA: 2027 Champion</t>
        </is>
      </c>
      <c r="B14" s="29" t="n">
        <v>36</v>
      </c>
      <c r="C14" s="29" t="n"/>
      <c r="D14" s="29" t="n"/>
      <c r="E14" s="29" t="n"/>
      <c r="F14" s="29" t="n"/>
      <c r="G14" s="29" t="n"/>
      <c r="H14" s="29" t="n"/>
      <c r="I14" s="29" t="inlineStr">
        <is>
          <t>book_unavailable</t>
        </is>
      </c>
    </row>
    <row r="15">
      <c r="A15" s="29" t="inlineStr">
        <is>
          <t>BLAST Open Porto 2026: Winner</t>
        </is>
      </c>
      <c r="B15" s="29" t="n">
        <v>22</v>
      </c>
      <c r="C15" s="29" t="n"/>
      <c r="D15" s="29" t="n"/>
      <c r="E15" s="29" t="n"/>
      <c r="F15" s="29" t="n"/>
      <c r="G15" s="29" t="n"/>
      <c r="H15" s="29" t="n"/>
      <c r="I15" s="29" t="inlineStr">
        <is>
          <t>book_unavailable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</cols>
  <sheetData>
    <row r="1">
      <c r="A1" s="28" t="inlineStr">
        <is>
          <t>Type</t>
        </is>
      </c>
      <c r="B1" s="28" t="inlineStr">
        <is>
          <t>Instrument</t>
        </is>
      </c>
      <c r="C1" s="28" t="inlineStr">
        <is>
          <t>Detail</t>
        </is>
      </c>
      <c r="D1" s="28" t="inlineStr">
        <is>
          <t>Value</t>
        </is>
      </c>
      <c r="E1" s="28" t="inlineStr">
        <is>
          <t>Unit</t>
        </is>
      </c>
    </row>
    <row r="2">
      <c r="A2" s="29" t="inlineStr">
        <is>
          <t>delivery basis</t>
        </is>
      </c>
      <c r="B2" s="29" t="inlineStr">
        <is>
          <t>WLD_USDT_20260821</t>
        </is>
      </c>
      <c r="C2" s="29" t="inlineStr">
        <is>
          <t>4.1d, spot 0.36265000000000003 fut 0.363</t>
        </is>
      </c>
      <c r="D2" s="29" t="n">
        <v>8.52</v>
      </c>
      <c r="E2" s="29" t="inlineStr">
        <is>
          <t>% APR</t>
        </is>
      </c>
    </row>
    <row r="3">
      <c r="A3" s="29" t="inlineStr">
        <is>
          <t>delivery basis</t>
        </is>
      </c>
      <c r="B3" s="29" t="inlineStr">
        <is>
          <t>UNI_USDT_20260821</t>
        </is>
      </c>
      <c r="C3" s="29" t="inlineStr">
        <is>
          <t>4.1d, spot 3.2824999999999998 fut 3.285</t>
        </is>
      </c>
      <c r="D3" s="29" t="n">
        <v>6.72</v>
      </c>
      <c r="E3" s="29" t="inlineStr">
        <is>
          <t>% APR</t>
        </is>
      </c>
    </row>
    <row r="4">
      <c r="A4" s="29" t="inlineStr">
        <is>
          <t>delivery basis</t>
        </is>
      </c>
      <c r="B4" s="29" t="inlineStr">
        <is>
          <t>WLD_USDT_20260828</t>
        </is>
      </c>
      <c r="C4" s="29" t="inlineStr">
        <is>
          <t>11.1d, spot 0.36265000000000003 fut 0.3633</t>
        </is>
      </c>
      <c r="D4" s="29" t="n">
        <v>5.87</v>
      </c>
      <c r="E4" s="29" t="inlineStr">
        <is>
          <t>% APR</t>
        </is>
      </c>
    </row>
    <row r="5">
      <c r="A5" s="29" t="inlineStr">
        <is>
          <t>delivery basis</t>
        </is>
      </c>
      <c r="B5" s="29" t="inlineStr">
        <is>
          <t>BTC_USDT_20260828</t>
        </is>
      </c>
      <c r="C5" s="29" t="inlineStr">
        <is>
          <t>11.1d, spot 63507.850000000006 fut 63608.75</t>
        </is>
      </c>
      <c r="D5" s="29" t="n">
        <v>5.21</v>
      </c>
      <c r="E5" s="29" t="inlineStr">
        <is>
          <t>% APR</t>
        </is>
      </c>
    </row>
    <row r="6">
      <c r="A6" s="29" t="inlineStr">
        <is>
          <t>delivery basis</t>
        </is>
      </c>
      <c r="B6" s="29" t="inlineStr">
        <is>
          <t>LINK_USDT_20260821</t>
        </is>
      </c>
      <c r="C6" s="29" t="inlineStr">
        <is>
          <t>4.1d, spot 9.473500000000001 fut 9.479</t>
        </is>
      </c>
      <c r="D6" s="29" t="n">
        <v>5.12</v>
      </c>
      <c r="E6" s="29" t="inlineStr">
        <is>
          <t>% APR</t>
        </is>
      </c>
    </row>
    <row r="7">
      <c r="A7" s="29" t="inlineStr">
        <is>
          <t>delivery basis</t>
        </is>
      </c>
      <c r="B7" s="29" t="inlineStr">
        <is>
          <t>LINK_USDT_20260828</t>
        </is>
      </c>
      <c r="C7" s="29" t="inlineStr">
        <is>
          <t>11.1d, spot 9.473500000000001 fut 9.488</t>
        </is>
      </c>
      <c r="D7" s="29" t="n">
        <v>5.02</v>
      </c>
      <c r="E7" s="29" t="inlineStr">
        <is>
          <t>% APR</t>
        </is>
      </c>
    </row>
    <row r="8">
      <c r="A8" s="29" t="inlineStr">
        <is>
          <t>delivery basis</t>
        </is>
      </c>
      <c r="B8" s="29" t="inlineStr">
        <is>
          <t>DOGE_USDT_20261225</t>
        </is>
      </c>
      <c r="C8" s="29" t="inlineStr">
        <is>
          <t>130.1d, spot 0.07022500000000001 fut 0.07144</t>
        </is>
      </c>
      <c r="D8" s="29" t="n">
        <v>4.85</v>
      </c>
      <c r="E8" s="29" t="inlineStr">
        <is>
          <t>% APR</t>
        </is>
      </c>
    </row>
    <row r="9">
      <c r="A9" s="29" t="inlineStr">
        <is>
          <t>delivery basis</t>
        </is>
      </c>
      <c r="B9" s="29" t="inlineStr">
        <is>
          <t>ETH_USDT_20260821</t>
        </is>
      </c>
      <c r="C9" s="29" t="inlineStr">
        <is>
          <t>4.1d, spot 1902.8249999999998 fut 1903.85</t>
        </is>
      </c>
      <c r="D9" s="29" t="n">
        <v>4.75</v>
      </c>
      <c r="E9" s="29" t="inlineStr">
        <is>
          <t>% APR</t>
        </is>
      </c>
    </row>
    <row r="10">
      <c r="A10" s="29" t="inlineStr">
        <is>
          <t>delivery basis</t>
        </is>
      </c>
      <c r="B10" s="29" t="inlineStr">
        <is>
          <t>UNI_USDT_20260828</t>
        </is>
      </c>
      <c r="C10" s="29" t="inlineStr">
        <is>
          <t>11.1d, spot 3.2824999999999998 fut 3.287</t>
        </is>
      </c>
      <c r="D10" s="29" t="n">
        <v>4.49</v>
      </c>
      <c r="E10" s="29" t="inlineStr">
        <is>
          <t>% APR</t>
        </is>
      </c>
    </row>
    <row r="11">
      <c r="A11" s="29" t="inlineStr">
        <is>
          <t>delivery basis</t>
        </is>
      </c>
      <c r="B11" s="29" t="inlineStr">
        <is>
          <t>BTC_USDT_20261225</t>
        </is>
      </c>
      <c r="C11" s="29" t="inlineStr">
        <is>
          <t>130.1d, spot 63507.850000000006 fut 64517.15</t>
        </is>
      </c>
      <c r="D11" s="29" t="n">
        <v>4.46</v>
      </c>
      <c r="E11" s="29" t="inlineStr">
        <is>
          <t>% APR</t>
        </is>
      </c>
    </row>
    <row r="12">
      <c r="A12" s="29" t="inlineStr">
        <is>
          <t>delivery basis</t>
        </is>
      </c>
      <c r="B12" s="29" t="inlineStr">
        <is>
          <t>DOGE_USDT_20260925</t>
        </is>
      </c>
      <c r="C12" s="29" t="inlineStr">
        <is>
          <t>39.1d, spot 0.07022500000000001 fut 0.07056</t>
        </is>
      </c>
      <c r="D12" s="29" t="n">
        <v>4.45</v>
      </c>
      <c r="E12" s="29" t="inlineStr">
        <is>
          <t>% APR</t>
        </is>
      </c>
    </row>
    <row r="13">
      <c r="A13" s="29" t="inlineStr">
        <is>
          <t>delivery basis</t>
        </is>
      </c>
      <c r="B13" s="29" t="inlineStr">
        <is>
          <t>BTC_USDT_20260925</t>
        </is>
      </c>
      <c r="C13" s="29" t="inlineStr">
        <is>
          <t>39.1d, spot 63507.850000000006 fut 63801.5</t>
        </is>
      </c>
      <c r="D13" s="29" t="n">
        <v>4.31</v>
      </c>
      <c r="E13" s="29" t="inlineStr">
        <is>
          <t>% APR</t>
        </is>
      </c>
    </row>
    <row r="14">
      <c r="A14" s="29" t="inlineStr">
        <is>
          <t>delivery basis</t>
        </is>
      </c>
      <c r="B14" s="29" t="inlineStr">
        <is>
          <t>LTC_USDT_20260828</t>
        </is>
      </c>
      <c r="C14" s="29" t="inlineStr">
        <is>
          <t>11.1d, spot 44.285 fut 44.34</t>
        </is>
      </c>
      <c r="D14" s="29" t="n">
        <v>4.07</v>
      </c>
      <c r="E14" s="29" t="inlineStr">
        <is>
          <t>% APR</t>
        </is>
      </c>
    </row>
    <row r="15">
      <c r="A15" s="29" t="inlineStr">
        <is>
          <t>delivery basis</t>
        </is>
      </c>
      <c r="B15" s="29" t="inlineStr">
        <is>
          <t>BTC_USDT_20260821</t>
        </is>
      </c>
      <c r="C15" s="29" t="inlineStr">
        <is>
          <t>4.1d, spot 63507.850000000006 fut 63536.9</t>
        </is>
      </c>
      <c r="D15" s="29" t="n">
        <v>4.04</v>
      </c>
      <c r="E15" s="29" t="inlineStr">
        <is>
          <t>% APR</t>
        </is>
      </c>
    </row>
    <row r="16">
      <c r="A16" s="29" t="inlineStr">
        <is>
          <t>delivery basis</t>
        </is>
      </c>
      <c r="B16" s="29" t="inlineStr">
        <is>
          <t>ETH_USDT_20260828</t>
        </is>
      </c>
      <c r="C16" s="29" t="inlineStr">
        <is>
          <t>11.1d, spot 1902.8249999999998 fut 1905.06</t>
        </is>
      </c>
      <c r="D16" s="29" t="n">
        <v>3.85</v>
      </c>
      <c r="E16" s="29" t="inlineStr">
        <is>
          <t>% APR</t>
        </is>
      </c>
    </row>
    <row r="17">
      <c r="A17" s="29" t="inlineStr">
        <is>
          <t>funding spread</t>
        </is>
      </c>
      <c r="B17" s="29" t="inlineStr">
        <is>
          <t>ACE</t>
        </is>
      </c>
      <c r="C17" s="29" t="inlineStr">
        <is>
          <t>long gate short bitget</t>
        </is>
      </c>
      <c r="D17" s="29" t="n">
        <v>3.166</v>
      </c>
      <c r="E17" s="29" t="inlineStr">
        <is>
          <t>% per day</t>
        </is>
      </c>
    </row>
    <row r="18">
      <c r="A18" s="29" t="inlineStr">
        <is>
          <t>funding spread</t>
        </is>
      </c>
      <c r="B18" s="29" t="inlineStr">
        <is>
          <t>WAL</t>
        </is>
      </c>
      <c r="C18" s="29" t="inlineStr">
        <is>
          <t>long gate short bitget</t>
        </is>
      </c>
      <c r="D18" s="29" t="n">
        <v>1.033</v>
      </c>
      <c r="E18" s="29" t="inlineStr">
        <is>
          <t>% per day</t>
        </is>
      </c>
    </row>
    <row r="19">
      <c r="A19" s="29" t="inlineStr">
        <is>
          <t>funding spread</t>
        </is>
      </c>
      <c r="B19" s="29" t="inlineStr">
        <is>
          <t>HOME</t>
        </is>
      </c>
      <c r="C19" s="29" t="inlineStr">
        <is>
          <t>long gate short bitget</t>
        </is>
      </c>
      <c r="D19" s="29" t="n">
        <v>0.714</v>
      </c>
      <c r="E19" s="29" t="inlineStr">
        <is>
          <t>% per day</t>
        </is>
      </c>
    </row>
    <row r="20">
      <c r="A20" s="29" t="inlineStr">
        <is>
          <t>funding spread</t>
        </is>
      </c>
      <c r="B20" s="29" t="inlineStr">
        <is>
          <t>LUMIA</t>
        </is>
      </c>
      <c r="C20" s="29" t="inlineStr">
        <is>
          <t>long bitget short gate</t>
        </is>
      </c>
      <c r="D20" s="29" t="n">
        <v>0.681</v>
      </c>
      <c r="E20" s="29" t="inlineStr">
        <is>
          <t>% per day</t>
        </is>
      </c>
    </row>
    <row r="21">
      <c r="A21" s="29" t="inlineStr">
        <is>
          <t>funding spread</t>
        </is>
      </c>
      <c r="B21" s="29" t="inlineStr">
        <is>
          <t>STABLE</t>
        </is>
      </c>
      <c r="C21" s="29" t="inlineStr">
        <is>
          <t>long gate short bitget</t>
        </is>
      </c>
      <c r="D21" s="29" t="n">
        <v>0.667</v>
      </c>
      <c r="E21" s="29" t="inlineStr">
        <is>
          <t>% per day</t>
        </is>
      </c>
    </row>
    <row r="22">
      <c r="A22" s="29" t="inlineStr">
        <is>
          <t>funding spread</t>
        </is>
      </c>
      <c r="B22" s="29" t="inlineStr">
        <is>
          <t>STEEM</t>
        </is>
      </c>
      <c r="C22" s="29" t="inlineStr">
        <is>
          <t>long gate short bitget</t>
        </is>
      </c>
      <c r="D22" s="29" t="n">
        <v>0.634</v>
      </c>
      <c r="E22" s="29" t="inlineStr">
        <is>
          <t>% per day</t>
        </is>
      </c>
    </row>
    <row r="23">
      <c r="A23" s="29" t="inlineStr">
        <is>
          <t>funding spread</t>
        </is>
      </c>
      <c r="B23" s="29" t="inlineStr">
        <is>
          <t>POWER</t>
        </is>
      </c>
      <c r="C23" s="29" t="inlineStr">
        <is>
          <t>long bitget short gate</t>
        </is>
      </c>
      <c r="D23" s="29" t="n">
        <v>0.624</v>
      </c>
      <c r="E23" s="29" t="inlineStr">
        <is>
          <t>% per day</t>
        </is>
      </c>
    </row>
    <row r="24">
      <c r="A24" s="29" t="inlineStr">
        <is>
          <t>funding spread</t>
        </is>
      </c>
      <c r="B24" s="29" t="inlineStr">
        <is>
          <t>JST</t>
        </is>
      </c>
      <c r="C24" s="29" t="inlineStr">
        <is>
          <t>long gate short bitget</t>
        </is>
      </c>
      <c r="D24" s="29" t="n">
        <v>0.549</v>
      </c>
      <c r="E24" s="29" t="inlineStr">
        <is>
          <t>% per day</t>
        </is>
      </c>
    </row>
    <row r="25">
      <c r="A25" s="29" t="inlineStr">
        <is>
          <t>funding spread</t>
        </is>
      </c>
      <c r="B25" s="29" t="inlineStr">
        <is>
          <t>ALICE</t>
        </is>
      </c>
      <c r="C25" s="29" t="inlineStr">
        <is>
          <t>long gate short bitget</t>
        </is>
      </c>
      <c r="D25" s="29" t="n">
        <v>0.546</v>
      </c>
      <c r="E25" s="29" t="inlineStr">
        <is>
          <t>% per day</t>
        </is>
      </c>
    </row>
    <row r="26">
      <c r="A26" s="29" t="inlineStr">
        <is>
          <t>funding spread</t>
        </is>
      </c>
      <c r="B26" s="29" t="inlineStr">
        <is>
          <t>RESOLV</t>
        </is>
      </c>
      <c r="C26" s="29" t="inlineStr">
        <is>
          <t>long bitget short gate</t>
        </is>
      </c>
      <c r="D26" s="29" t="n">
        <v>0.505</v>
      </c>
      <c r="E26" s="29" t="inlineStr">
        <is>
          <t>% per day</t>
        </is>
      </c>
    </row>
    <row r="27">
      <c r="A27" s="29" t="inlineStr">
        <is>
          <t>funding spread</t>
        </is>
      </c>
      <c r="B27" s="29" t="inlineStr">
        <is>
          <t>COTI</t>
        </is>
      </c>
      <c r="C27" s="29" t="inlineStr">
        <is>
          <t>long gate short bitget</t>
        </is>
      </c>
      <c r="D27" s="29" t="n">
        <v>0.47</v>
      </c>
      <c r="E27" s="29" t="inlineStr">
        <is>
          <t>% per day</t>
        </is>
      </c>
    </row>
    <row r="28">
      <c r="A28" s="29" t="inlineStr">
        <is>
          <t>funding spread</t>
        </is>
      </c>
      <c r="B28" s="29" t="inlineStr">
        <is>
          <t>DEXE</t>
        </is>
      </c>
      <c r="C28" s="29" t="inlineStr">
        <is>
          <t>long gate short bitget</t>
        </is>
      </c>
      <c r="D28" s="29" t="n">
        <v>0.438</v>
      </c>
      <c r="E28" s="29" t="inlineStr">
        <is>
          <t>% per day</t>
        </is>
      </c>
    </row>
    <row r="29">
      <c r="A29" s="29" t="inlineStr">
        <is>
          <t>funding spread</t>
        </is>
      </c>
      <c r="B29" s="29" t="inlineStr">
        <is>
          <t>COW</t>
        </is>
      </c>
      <c r="C29" s="29" t="inlineStr">
        <is>
          <t>long gate short bitget</t>
        </is>
      </c>
      <c r="D29" s="29" t="n">
        <v>0.412</v>
      </c>
      <c r="E29" s="29" t="inlineStr">
        <is>
          <t>% per day</t>
        </is>
      </c>
    </row>
    <row r="30">
      <c r="A30" s="29" t="inlineStr">
        <is>
          <t>funding spread</t>
        </is>
      </c>
      <c r="B30" s="29" t="inlineStr">
        <is>
          <t>CVC</t>
        </is>
      </c>
      <c r="C30" s="29" t="inlineStr">
        <is>
          <t>long bitget short gate</t>
        </is>
      </c>
      <c r="D30" s="29" t="n">
        <v>0.403</v>
      </c>
      <c r="E30" s="29" t="inlineStr">
        <is>
          <t>% per day</t>
        </is>
      </c>
    </row>
    <row r="31">
      <c r="A31" s="29" t="inlineStr">
        <is>
          <t>funding spread</t>
        </is>
      </c>
      <c r="B31" s="29" t="inlineStr">
        <is>
          <t>NAORIS</t>
        </is>
      </c>
      <c r="C31" s="29" t="inlineStr">
        <is>
          <t>long bitget short gate</t>
        </is>
      </c>
      <c r="D31" s="29" t="n">
        <v>0.401</v>
      </c>
      <c r="E31" s="29" t="inlineStr">
        <is>
          <t>% per 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19" customWidth="1" min="4" max="4"/>
    <col width="19" customWidth="1" min="5" max="5"/>
    <col width="20" customWidth="1" min="6" max="6"/>
    <col width="28" customWidth="1" min="7" max="7"/>
    <col width="12" customWidth="1" min="8" max="8"/>
  </cols>
  <sheetData>
    <row r="1">
      <c r="A1" s="28" t="inlineStr">
        <is>
          <t>Currency</t>
        </is>
      </c>
      <c r="B1" s="28" t="inlineStr">
        <is>
          <t>Official FX</t>
        </is>
      </c>
      <c r="C1" s="28" t="inlineStr">
        <is>
          <t>P2P buy USDT</t>
        </is>
      </c>
      <c r="D1" s="28" t="inlineStr">
        <is>
          <t>P2P sell USDT</t>
        </is>
      </c>
      <c r="E1" s="28" t="inlineStr">
        <is>
          <t>Buy premium %</t>
        </is>
      </c>
      <c r="F1" s="28" t="inlineStr">
        <is>
          <t>Sell premium %</t>
        </is>
      </c>
      <c r="G1" s="28" t="inlineStr">
        <is>
          <t>In-country roundtrip %</t>
        </is>
      </c>
      <c r="H1" s="28" t="inlineStr">
        <is>
          <t>Offers</t>
        </is>
      </c>
    </row>
    <row r="2">
      <c r="A2" s="29" t="inlineStr">
        <is>
          <t>VES</t>
        </is>
      </c>
      <c r="B2" s="29" t="n">
        <v>772.5441</v>
      </c>
      <c r="C2" s="29" t="n">
        <v>895</v>
      </c>
      <c r="D2" s="29" t="n">
        <v>861</v>
      </c>
      <c r="E2" s="29" t="n">
        <v>15.85</v>
      </c>
      <c r="F2" s="29" t="n">
        <v>11.45</v>
      </c>
      <c r="G2" s="29" t="n">
        <v>-3.8</v>
      </c>
      <c r="H2" s="29" t="n">
        <v>94</v>
      </c>
    </row>
    <row r="3">
      <c r="A3" s="29" t="inlineStr">
        <is>
          <t>GHS</t>
        </is>
      </c>
      <c r="B3" s="29" t="n">
        <v>10.970191</v>
      </c>
      <c r="C3" s="29" t="n">
        <v>11.73</v>
      </c>
      <c r="D3" s="29" t="n">
        <v>11.72</v>
      </c>
      <c r="E3" s="29" t="n">
        <v>6.93</v>
      </c>
      <c r="F3" s="29" t="n">
        <v>6.83</v>
      </c>
      <c r="G3" s="29" t="n">
        <v>-0.09</v>
      </c>
      <c r="H3" s="29" t="n">
        <v>168</v>
      </c>
    </row>
    <row r="4">
      <c r="A4" s="29" t="inlineStr">
        <is>
          <t>ARS</t>
        </is>
      </c>
      <c r="B4" s="29" t="n">
        <v>1488.6984</v>
      </c>
      <c r="C4" s="29" t="n">
        <v>1589</v>
      </c>
      <c r="D4" s="29" t="n">
        <v>1578.02</v>
      </c>
      <c r="E4" s="29" t="n">
        <v>6.74</v>
      </c>
      <c r="F4" s="29" t="n">
        <v>6</v>
      </c>
      <c r="G4" s="29" t="n">
        <v>-0.6899999999999999</v>
      </c>
      <c r="H4" s="29" t="n">
        <v>114</v>
      </c>
    </row>
    <row r="5">
      <c r="A5" s="29" t="inlineStr">
        <is>
          <t>BRL</t>
        </is>
      </c>
      <c r="B5" s="29" t="n">
        <v>5.183604</v>
      </c>
      <c r="C5" s="29" t="n">
        <v>6.25</v>
      </c>
      <c r="D5" s="29" t="n">
        <v>4.9</v>
      </c>
      <c r="E5" s="29" t="n">
        <v>20.57</v>
      </c>
      <c r="F5" s="29" t="n">
        <v>-5.47</v>
      </c>
      <c r="G5" s="29" t="n">
        <v>-21.6</v>
      </c>
      <c r="H5" s="29" t="n">
        <v>52</v>
      </c>
    </row>
    <row r="6">
      <c r="A6" s="29" t="inlineStr">
        <is>
          <t>MAD</t>
        </is>
      </c>
      <c r="B6" s="29" t="n">
        <v>9.284162</v>
      </c>
      <c r="C6" s="29" t="n">
        <v>9.800000000000001</v>
      </c>
      <c r="D6" s="29" t="n">
        <v>9.710000000000001</v>
      </c>
      <c r="E6" s="29" t="n">
        <v>5.56</v>
      </c>
      <c r="F6" s="29" t="n">
        <v>4.59</v>
      </c>
      <c r="G6" s="29" t="n">
        <v>-0.92</v>
      </c>
      <c r="H6" s="29" t="n">
        <v>222</v>
      </c>
    </row>
    <row r="7">
      <c r="A7" s="29" t="inlineStr">
        <is>
          <t>INR</t>
        </is>
      </c>
      <c r="B7" s="29" t="n">
        <v>95.610406</v>
      </c>
      <c r="C7" s="29" t="n">
        <v>118</v>
      </c>
      <c r="D7" s="29" t="n">
        <v>98.52</v>
      </c>
      <c r="E7" s="29" t="n">
        <v>23.42</v>
      </c>
      <c r="F7" s="29" t="n">
        <v>3.04</v>
      </c>
      <c r="G7" s="29" t="n">
        <v>-16.51</v>
      </c>
      <c r="H7" s="29" t="n">
        <v>55</v>
      </c>
    </row>
    <row r="8">
      <c r="A8" s="29" t="inlineStr">
        <is>
          <t>NGN</t>
        </is>
      </c>
      <c r="B8" s="29" t="n">
        <v>1359.199289</v>
      </c>
      <c r="C8" s="29" t="n">
        <v>1395.5</v>
      </c>
      <c r="D8" s="29" t="n">
        <v>1392.8</v>
      </c>
      <c r="E8" s="29" t="n">
        <v>2.67</v>
      </c>
      <c r="F8" s="29" t="n">
        <v>2.47</v>
      </c>
      <c r="G8" s="29" t="n">
        <v>-0.19</v>
      </c>
      <c r="H8" s="29" t="n">
        <v>248</v>
      </c>
    </row>
    <row r="9">
      <c r="A9" s="29" t="inlineStr">
        <is>
          <t>UAH</t>
        </is>
      </c>
      <c r="B9" s="29" t="n">
        <v>44.699683</v>
      </c>
      <c r="C9" s="29" t="n">
        <v>45.29</v>
      </c>
      <c r="D9" s="29" t="n">
        <v>45.75</v>
      </c>
      <c r="E9" s="29" t="n">
        <v>1.32</v>
      </c>
      <c r="F9" s="29" t="n">
        <v>2.35</v>
      </c>
      <c r="G9" s="29" t="n">
        <v>1.02</v>
      </c>
      <c r="H9" s="29" t="n">
        <v>349</v>
      </c>
    </row>
    <row r="10">
      <c r="A10" s="29" t="inlineStr">
        <is>
          <t>PKR</t>
        </is>
      </c>
      <c r="B10" s="29" t="n">
        <v>277.654188</v>
      </c>
      <c r="C10" s="29" t="n">
        <v>284.4</v>
      </c>
      <c r="D10" s="29" t="n">
        <v>283.89</v>
      </c>
      <c r="E10" s="29" t="n">
        <v>2.43</v>
      </c>
      <c r="F10" s="29" t="n">
        <v>2.25</v>
      </c>
      <c r="G10" s="29" t="n">
        <v>-0.18</v>
      </c>
      <c r="H10" s="29" t="n">
        <v>333</v>
      </c>
    </row>
    <row r="11">
      <c r="A11" s="29" t="inlineStr">
        <is>
          <t>TRY</t>
        </is>
      </c>
      <c r="B11" s="29" t="n">
        <v>47.884451</v>
      </c>
      <c r="C11" s="29" t="n">
        <v>49.97</v>
      </c>
      <c r="D11" s="29" t="n">
        <v>48.91</v>
      </c>
      <c r="E11" s="29" t="n">
        <v>4.36</v>
      </c>
      <c r="F11" s="29" t="n">
        <v>2.14</v>
      </c>
      <c r="G11" s="29" t="n">
        <v>-2.12</v>
      </c>
      <c r="H11" s="29" t="n">
        <v>266</v>
      </c>
    </row>
    <row r="12">
      <c r="A12" s="29" t="inlineStr">
        <is>
          <t>EGP</t>
        </is>
      </c>
      <c r="B12" s="29" t="n">
        <v>50.257428</v>
      </c>
      <c r="C12" s="29" t="n">
        <v>50.94</v>
      </c>
      <c r="D12" s="29" t="n">
        <v>51.23</v>
      </c>
      <c r="E12" s="29" t="n">
        <v>1.36</v>
      </c>
      <c r="F12" s="29" t="n">
        <v>1.94</v>
      </c>
      <c r="G12" s="29" t="n">
        <v>0.57</v>
      </c>
      <c r="H12" s="29" t="n">
        <v>212</v>
      </c>
    </row>
    <row r="13">
      <c r="A13" s="29" t="inlineStr">
        <is>
          <t>VND</t>
        </is>
      </c>
      <c r="B13" s="29" t="n">
        <v>26065.195054</v>
      </c>
      <c r="C13" s="29" t="n">
        <v>25800</v>
      </c>
      <c r="D13" s="29" t="n">
        <v>25796</v>
      </c>
      <c r="E13" s="29" t="n">
        <v>-1.02</v>
      </c>
      <c r="F13" s="29" t="n">
        <v>-1.03</v>
      </c>
      <c r="G13" s="29" t="n">
        <v>-0.02</v>
      </c>
      <c r="H13" s="29" t="n">
        <v>400</v>
      </c>
    </row>
    <row r="14">
      <c r="A14" s="29" t="inlineStr">
        <is>
          <t>LKR</t>
        </is>
      </c>
      <c r="B14" s="29" t="n">
        <v>332.495758</v>
      </c>
      <c r="C14" s="29" t="n">
        <v>367</v>
      </c>
      <c r="D14" s="29" t="n">
        <v>335.54</v>
      </c>
      <c r="E14" s="29" t="n">
        <v>10.38</v>
      </c>
      <c r="F14" s="29" t="n">
        <v>0.92</v>
      </c>
      <c r="G14" s="29" t="n">
        <v>-8.57</v>
      </c>
      <c r="H14" s="29" t="n">
        <v>49</v>
      </c>
    </row>
    <row r="15">
      <c r="A15" s="29" t="inlineStr">
        <is>
          <t>COP</t>
        </is>
      </c>
      <c r="B15" s="29" t="n">
        <v>3124.110043</v>
      </c>
      <c r="C15" s="29" t="n">
        <v>3149</v>
      </c>
      <c r="D15" s="29" t="n">
        <v>3108.02</v>
      </c>
      <c r="E15" s="29" t="n">
        <v>0.8</v>
      </c>
      <c r="F15" s="29" t="n">
        <v>-0.52</v>
      </c>
      <c r="G15" s="29" t="n">
        <v>-1.3</v>
      </c>
      <c r="H15" s="29" t="n">
        <v>126</v>
      </c>
    </row>
    <row r="16">
      <c r="A16" s="29" t="inlineStr">
        <is>
          <t>BDT</t>
        </is>
      </c>
      <c r="B16" s="29" t="n">
        <v>122.722063</v>
      </c>
      <c r="C16" s="29" t="n">
        <v>128.94</v>
      </c>
      <c r="D16" s="29" t="n">
        <v>122.19</v>
      </c>
      <c r="E16" s="29" t="n">
        <v>5.07</v>
      </c>
      <c r="F16" s="29" t="n">
        <v>-0.43</v>
      </c>
      <c r="G16" s="29" t="n">
        <v>-5.23</v>
      </c>
      <c r="H16" s="29" t="n">
        <v>22</v>
      </c>
    </row>
    <row r="17">
      <c r="A17" s="29" t="inlineStr">
        <is>
          <t>KES</t>
        </is>
      </c>
      <c r="B17" s="29" t="n">
        <v>129.238899</v>
      </c>
      <c r="C17" s="29" t="n">
        <v>129</v>
      </c>
      <c r="D17" s="29" t="n">
        <v>128.8</v>
      </c>
      <c r="E17" s="29" t="n">
        <v>-0.18</v>
      </c>
      <c r="F17" s="29" t="n">
        <v>-0.34</v>
      </c>
      <c r="G17" s="29" t="n">
        <v>-0.16</v>
      </c>
      <c r="H17" s="29" t="n">
        <v>183</v>
      </c>
    </row>
    <row r="18">
      <c r="A18" s="29" t="inlineStr">
        <is>
          <t>PHP</t>
        </is>
      </c>
      <c r="B18" s="29" t="n">
        <v>61.516375</v>
      </c>
      <c r="C18" s="29" t="n">
        <v>61.4</v>
      </c>
      <c r="D18" s="29" t="n">
        <v>61.31</v>
      </c>
      <c r="E18" s="29" t="n">
        <v>-0.19</v>
      </c>
      <c r="F18" s="29" t="n">
        <v>-0.34</v>
      </c>
      <c r="G18" s="29" t="n">
        <v>-0.15</v>
      </c>
      <c r="H18" s="29" t="n">
        <v>290</v>
      </c>
    </row>
    <row r="19">
      <c r="A19" s="29" t="inlineStr">
        <is>
          <t>IDR</t>
        </is>
      </c>
      <c r="B19" s="29" t="n">
        <v>17833.789555</v>
      </c>
      <c r="C19" s="29" t="n">
        <v>17810</v>
      </c>
      <c r="D19" s="29" t="n">
        <v>17775</v>
      </c>
      <c r="E19" s="29" t="n">
        <v>-0.13</v>
      </c>
      <c r="F19" s="29" t="n">
        <v>-0.33</v>
      </c>
      <c r="G19" s="29" t="n">
        <v>-0.2</v>
      </c>
      <c r="H19" s="29" t="n">
        <v>235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8" customWidth="1" min="4" max="4"/>
    <col width="20" customWidth="1" min="5" max="5"/>
    <col width="13" customWidth="1" min="6" max="6"/>
    <col width="18" customWidth="1" min="7" max="7"/>
    <col width="18" customWidth="1" min="8" max="8"/>
    <col width="17" customWidth="1" min="9" max="9"/>
  </cols>
  <sheetData>
    <row r="1">
      <c r="A1" s="28" t="inlineStr">
        <is>
          <t>Chain</t>
        </is>
      </c>
      <c r="B1" s="28" t="inlineStr">
        <is>
          <t>Asset</t>
        </is>
      </c>
      <c r="C1" s="28" t="inlineStr">
        <is>
          <t>Borrow on</t>
        </is>
      </c>
      <c r="D1" s="28" t="inlineStr">
        <is>
          <t>Borrow APY %</t>
        </is>
      </c>
      <c r="E1" s="28" t="inlineStr">
        <is>
          <t>Borrow avail $</t>
        </is>
      </c>
      <c r="F1" s="28" t="inlineStr">
        <is>
          <t>Lend on</t>
        </is>
      </c>
      <c r="G1" s="28" t="inlineStr">
        <is>
          <t>Supply APY %</t>
        </is>
      </c>
      <c r="H1" s="28" t="inlineStr">
        <is>
          <t>Supply TVL $</t>
        </is>
      </c>
      <c r="I1" s="28" t="inlineStr">
        <is>
          <t>Spread %-yr</t>
        </is>
      </c>
    </row>
    <row r="2">
      <c r="A2" s="29" t="inlineStr">
        <is>
          <t>Ethereum</t>
        </is>
      </c>
      <c r="B2" s="29" t="inlineStr">
        <is>
          <t>USDC</t>
        </is>
      </c>
      <c r="C2" s="29" t="inlineStr">
        <is>
          <t>fluid-lending</t>
        </is>
      </c>
      <c r="D2" s="29" t="n">
        <v>0.8</v>
      </c>
      <c r="E2" s="29" t="n">
        <v>3322890</v>
      </c>
      <c r="F2" s="29" t="inlineStr">
        <is>
          <t>accountable</t>
        </is>
      </c>
      <c r="G2" s="29" t="n">
        <v>20.09</v>
      </c>
      <c r="H2" s="29" t="n">
        <v>3930955</v>
      </c>
      <c r="I2" s="29" t="n">
        <v>19.29</v>
      </c>
    </row>
    <row r="3">
      <c r="A3" s="29" t="inlineStr">
        <is>
          <t>Monad</t>
        </is>
      </c>
      <c r="B3" s="29" t="inlineStr">
        <is>
          <t>USDC</t>
        </is>
      </c>
      <c r="C3" s="29" t="inlineStr">
        <is>
          <t>neverland</t>
        </is>
      </c>
      <c r="D3" s="29" t="n">
        <v>3.17</v>
      </c>
      <c r="E3" s="29" t="n">
        <v>1486652</v>
      </c>
      <c r="F3" s="29" t="inlineStr">
        <is>
          <t>accountable</t>
        </is>
      </c>
      <c r="G3" s="29" t="n">
        <v>20.13</v>
      </c>
      <c r="H3" s="29" t="n">
        <v>7497096</v>
      </c>
      <c r="I3" s="29" t="n">
        <v>16.96</v>
      </c>
    </row>
    <row r="4">
      <c r="A4" s="29" t="inlineStr">
        <is>
          <t>Ethereum</t>
        </is>
      </c>
      <c r="B4" s="29" t="inlineStr">
        <is>
          <t>CVXCRV</t>
        </is>
      </c>
      <c r="C4" s="29" t="inlineStr">
        <is>
          <t>inverse-finance-firm</t>
        </is>
      </c>
      <c r="D4" s="29" t="n">
        <v>4.07</v>
      </c>
      <c r="E4" s="29" t="n">
        <v>1728666</v>
      </c>
      <c r="F4" s="29" t="inlineStr">
        <is>
          <t>convex-finance</t>
        </is>
      </c>
      <c r="G4" s="29" t="n">
        <v>12.66</v>
      </c>
      <c r="H4" s="29" t="n">
        <v>39704747</v>
      </c>
      <c r="I4" s="29" t="n">
        <v>8.59</v>
      </c>
    </row>
    <row r="5">
      <c r="A5" s="29" t="inlineStr">
        <is>
          <t>Solana</t>
        </is>
      </c>
      <c r="B5" s="29" t="inlineStr">
        <is>
          <t>USDC</t>
        </is>
      </c>
      <c r="C5" s="29" t="inlineStr">
        <is>
          <t>kamino-lend</t>
        </is>
      </c>
      <c r="D5" s="29" t="n">
        <v>2.29</v>
      </c>
      <c r="E5" s="29" t="n">
        <v>1364122</v>
      </c>
      <c r="F5" s="29" t="inlineStr">
        <is>
          <t>neutral-trade</t>
        </is>
      </c>
      <c r="G5" s="29" t="n">
        <v>10.56</v>
      </c>
      <c r="H5" s="29" t="n">
        <v>3242236</v>
      </c>
      <c r="I5" s="29" t="n">
        <v>8.27</v>
      </c>
    </row>
    <row r="6">
      <c r="A6" s="29" t="inlineStr">
        <is>
          <t>Base</t>
        </is>
      </c>
      <c r="B6" s="29" t="inlineStr">
        <is>
          <t>WETH</t>
        </is>
      </c>
      <c r="C6" s="29" t="inlineStr">
        <is>
          <t>compound-v3</t>
        </is>
      </c>
      <c r="D6" s="29" t="n">
        <v>0</v>
      </c>
      <c r="E6" s="29" t="n">
        <v>5154799</v>
      </c>
      <c r="F6" s="29" t="inlineStr">
        <is>
          <t>fusion-by-ipor</t>
        </is>
      </c>
      <c r="G6" s="29" t="n">
        <v>8.130000000000001</v>
      </c>
      <c r="H6" s="29" t="n">
        <v>3400357</v>
      </c>
      <c r="I6" s="29" t="n">
        <v>8.130000000000001</v>
      </c>
    </row>
    <row r="7">
      <c r="A7" s="29" t="inlineStr">
        <is>
          <t>Sui</t>
        </is>
      </c>
      <c r="B7" s="29" t="inlineStr">
        <is>
          <t>USDC</t>
        </is>
      </c>
      <c r="C7" s="29" t="inlineStr">
        <is>
          <t>scallop-lend</t>
        </is>
      </c>
      <c r="D7" s="29" t="n">
        <v>3.92</v>
      </c>
      <c r="E7" s="29" t="n">
        <v>1318635</v>
      </c>
      <c r="F7" s="29" t="inlineStr">
        <is>
          <t>ember-protocol</t>
        </is>
      </c>
      <c r="G7" s="29" t="n">
        <v>12</v>
      </c>
      <c r="H7" s="29" t="n">
        <v>9287522</v>
      </c>
      <c r="I7" s="29" t="n">
        <v>8.08</v>
      </c>
    </row>
    <row r="8">
      <c r="A8" s="29" t="inlineStr">
        <is>
          <t>Ethereum</t>
        </is>
      </c>
      <c r="B8" s="29" t="inlineStr">
        <is>
          <t>SUSDAT</t>
        </is>
      </c>
      <c r="C8" s="29" t="inlineStr">
        <is>
          <t>morpho-blue</t>
        </is>
      </c>
      <c r="D8" s="29" t="n">
        <v>10.36</v>
      </c>
      <c r="E8" s="29" t="n">
        <v>9807046</v>
      </c>
      <c r="F8" s="29" t="inlineStr">
        <is>
          <t>saturn</t>
        </is>
      </c>
      <c r="G8" s="29" t="n">
        <v>18.4</v>
      </c>
      <c r="H8" s="29" t="n">
        <v>78293653</v>
      </c>
      <c r="I8" s="29" t="n">
        <v>8.039999999999999</v>
      </c>
    </row>
    <row r="9">
      <c r="A9" s="29" t="inlineStr">
        <is>
          <t>Flow</t>
        </is>
      </c>
      <c r="B9" s="29" t="inlineStr">
        <is>
          <t>ANKRFLOWEVM</t>
        </is>
      </c>
      <c r="C9" s="29" t="inlineStr">
        <is>
          <t>more-markets</t>
        </is>
      </c>
      <c r="D9" s="29" t="n">
        <v>0</v>
      </c>
      <c r="E9" s="29" t="n">
        <v>1579797</v>
      </c>
      <c r="F9" s="29" t="inlineStr">
        <is>
          <t>ankr</t>
        </is>
      </c>
      <c r="G9" s="29" t="n">
        <v>7.9</v>
      </c>
      <c r="H9" s="29" t="n">
        <v>3798743</v>
      </c>
      <c r="I9" s="29" t="n">
        <v>7.9</v>
      </c>
    </row>
    <row r="10">
      <c r="A10" s="29" t="inlineStr">
        <is>
          <t>Ethereum</t>
        </is>
      </c>
      <c r="B10" s="29" t="inlineStr">
        <is>
          <t>APYUSD</t>
        </is>
      </c>
      <c r="C10" s="29" t="inlineStr">
        <is>
          <t>morpho-blue</t>
        </is>
      </c>
      <c r="D10" s="29" t="n">
        <v>9.289999999999999</v>
      </c>
      <c r="E10" s="29" t="n">
        <v>1446638</v>
      </c>
      <c r="F10" s="29" t="inlineStr">
        <is>
          <t>pendle</t>
        </is>
      </c>
      <c r="G10" s="29" t="n">
        <v>17.18</v>
      </c>
      <c r="H10" s="29" t="n">
        <v>8774256</v>
      </c>
      <c r="I10" s="29" t="n">
        <v>7.89</v>
      </c>
    </row>
    <row r="11">
      <c r="A11" s="29" t="inlineStr">
        <is>
          <t>Ethereum</t>
        </is>
      </c>
      <c r="B11" s="29" t="inlineStr">
        <is>
          <t>USD3</t>
        </is>
      </c>
      <c r="C11" s="29" t="inlineStr">
        <is>
          <t>morpho-blue</t>
        </is>
      </c>
      <c r="D11" s="29" t="n">
        <v>7.02</v>
      </c>
      <c r="E11" s="29" t="n">
        <v>2762995</v>
      </c>
      <c r="F11" s="29" t="inlineStr">
        <is>
          <t>pendle</t>
        </is>
      </c>
      <c r="G11" s="29" t="n">
        <v>14.4</v>
      </c>
      <c r="H11" s="29" t="n">
        <v>6709505</v>
      </c>
      <c r="I11" s="29" t="n">
        <v>7.38</v>
      </c>
    </row>
    <row r="12">
      <c r="A12" s="29" t="inlineStr">
        <is>
          <t>Monad</t>
        </is>
      </c>
      <c r="B12" s="29" t="inlineStr">
        <is>
          <t>CBBTC</t>
        </is>
      </c>
      <c r="C12" s="29" t="inlineStr">
        <is>
          <t>euler-v2</t>
        </is>
      </c>
      <c r="D12" s="29" t="n">
        <v>0.52</v>
      </c>
      <c r="E12" s="29" t="n">
        <v>3116355</v>
      </c>
      <c r="F12" s="29" t="inlineStr">
        <is>
          <t>accountable</t>
        </is>
      </c>
      <c r="G12" s="29" t="n">
        <v>7.07</v>
      </c>
      <c r="H12" s="29" t="n">
        <v>6954114</v>
      </c>
      <c r="I12" s="29" t="n">
        <v>6.55</v>
      </c>
    </row>
    <row r="13">
      <c r="A13" s="29" t="inlineStr">
        <is>
          <t>Solana</t>
        </is>
      </c>
      <c r="B13" s="29" t="inlineStr">
        <is>
          <t>MSOL</t>
        </is>
      </c>
      <c r="C13" s="29" t="inlineStr">
        <is>
          <t>kamino-lend</t>
        </is>
      </c>
      <c r="D13" s="29" t="n">
        <v>0.01</v>
      </c>
      <c r="E13" s="29" t="n">
        <v>2482085</v>
      </c>
      <c r="F13" s="29" t="inlineStr">
        <is>
          <t>marinade-liquid-staking</t>
        </is>
      </c>
      <c r="G13" s="29" t="n">
        <v>6.32</v>
      </c>
      <c r="H13" s="29" t="n">
        <v>177725571</v>
      </c>
      <c r="I13" s="29" t="n">
        <v>6.31</v>
      </c>
    </row>
    <row r="14">
      <c r="A14" s="29" t="inlineStr">
        <is>
          <t>Ethereum</t>
        </is>
      </c>
      <c r="B14" s="29" t="inlineStr">
        <is>
          <t>ETH</t>
        </is>
      </c>
      <c r="C14" s="29" t="inlineStr">
        <is>
          <t>liquity-v1</t>
        </is>
      </c>
      <c r="D14" s="29" t="n">
        <v>0.5</v>
      </c>
      <c r="E14" s="29" t="n">
        <v>113297799</v>
      </c>
      <c r="F14" s="29" t="inlineStr">
        <is>
          <t>vesper</t>
        </is>
      </c>
      <c r="G14" s="29" t="n">
        <v>6.72</v>
      </c>
      <c r="H14" s="29" t="n">
        <v>3511598</v>
      </c>
      <c r="I14" s="29" t="n">
        <v>6.22</v>
      </c>
    </row>
    <row r="15">
      <c r="A15" s="29" t="inlineStr">
        <is>
          <t>Arbitrum</t>
        </is>
      </c>
      <c r="B15" s="29" t="inlineStr">
        <is>
          <t>USDT</t>
        </is>
      </c>
      <c r="C15" s="29" t="inlineStr">
        <is>
          <t>compound-v3</t>
        </is>
      </c>
      <c r="D15" s="29" t="n">
        <v>3.02</v>
      </c>
      <c r="E15" s="29" t="n">
        <v>8877763</v>
      </c>
      <c r="F15" s="29" t="inlineStr">
        <is>
          <t>zerobase-cedefi</t>
        </is>
      </c>
      <c r="G15" s="29" t="n">
        <v>9</v>
      </c>
      <c r="H15" s="29" t="n">
        <v>7629414</v>
      </c>
      <c r="I15" s="29" t="n">
        <v>5.98</v>
      </c>
    </row>
    <row r="16">
      <c r="A16" s="29" t="inlineStr">
        <is>
          <t>Flare</t>
        </is>
      </c>
      <c r="B16" s="29" t="inlineStr">
        <is>
          <t>SFLR</t>
        </is>
      </c>
      <c r="C16" s="29" t="inlineStr">
        <is>
          <t>kinetic</t>
        </is>
      </c>
      <c r="D16" s="29" t="n">
        <v>2.29</v>
      </c>
      <c r="E16" s="29" t="n">
        <v>4437887</v>
      </c>
      <c r="F16" s="29" t="inlineStr">
        <is>
          <t>sceptre-liquid</t>
        </is>
      </c>
      <c r="G16" s="29" t="n">
        <v>8.08</v>
      </c>
      <c r="H16" s="29" t="n">
        <v>14002182</v>
      </c>
      <c r="I16" s="29" t="n">
        <v>5.79</v>
      </c>
    </row>
    <row r="17">
      <c r="A17" s="29" t="inlineStr">
        <is>
          <t>BSC</t>
        </is>
      </c>
      <c r="B17" s="29" t="inlineStr">
        <is>
          <t>USDT</t>
        </is>
      </c>
      <c r="C17" s="29" t="inlineStr">
        <is>
          <t>aave-v3</t>
        </is>
      </c>
      <c r="D17" s="29" t="n">
        <v>3.21</v>
      </c>
      <c r="E17" s="29" t="n">
        <v>16681263</v>
      </c>
      <c r="F17" s="29" t="inlineStr">
        <is>
          <t>zerobase-cedefi</t>
        </is>
      </c>
      <c r="G17" s="29" t="n">
        <v>8.76</v>
      </c>
      <c r="H17" s="29" t="n">
        <v>19176431</v>
      </c>
      <c r="I17" s="29" t="n">
        <v>5.55</v>
      </c>
    </row>
    <row r="18">
      <c r="A18" s="29" t="inlineStr">
        <is>
          <t>Ethereum</t>
        </is>
      </c>
      <c r="B18" s="29" t="inlineStr">
        <is>
          <t>USDT</t>
        </is>
      </c>
      <c r="C18" s="29" t="inlineStr">
        <is>
          <t>sparklend</t>
        </is>
      </c>
      <c r="D18" s="29" t="n">
        <v>3.48</v>
      </c>
      <c r="E18" s="29" t="n">
        <v>63739102</v>
      </c>
      <c r="F18" s="29" t="inlineStr">
        <is>
          <t>zerobase-cedefi</t>
        </is>
      </c>
      <c r="G18" s="29" t="n">
        <v>9</v>
      </c>
      <c r="H18" s="29" t="n">
        <v>14041150</v>
      </c>
      <c r="I18" s="29" t="n">
        <v>5.52</v>
      </c>
    </row>
    <row r="19">
      <c r="A19" s="29" t="inlineStr">
        <is>
          <t>Ethereum</t>
        </is>
      </c>
      <c r="B19" s="29" t="inlineStr">
        <is>
          <t>STRUSD</t>
        </is>
      </c>
      <c r="C19" s="29" t="inlineStr">
        <is>
          <t>morpho-blue</t>
        </is>
      </c>
      <c r="D19" s="29" t="n">
        <v>6.36</v>
      </c>
      <c r="E19" s="29" t="n">
        <v>2575081</v>
      </c>
      <c r="F19" s="29" t="inlineStr">
        <is>
          <t>pendle</t>
        </is>
      </c>
      <c r="G19" s="29" t="n">
        <v>11.71</v>
      </c>
      <c r="H19" s="29" t="n">
        <v>7047753</v>
      </c>
      <c r="I19" s="29" t="n">
        <v>5.35</v>
      </c>
    </row>
    <row r="20">
      <c r="A20" s="29" t="inlineStr">
        <is>
          <t>Ethereum</t>
        </is>
      </c>
      <c r="B20" s="29" t="inlineStr">
        <is>
          <t>WETH</t>
        </is>
      </c>
      <c r="C20" s="29" t="inlineStr">
        <is>
          <t>compound-v3</t>
        </is>
      </c>
      <c r="D20" s="29" t="n">
        <v>0</v>
      </c>
      <c r="E20" s="29" t="n">
        <v>118840010</v>
      </c>
      <c r="F20" s="29" t="inlineStr">
        <is>
          <t>aave-v3</t>
        </is>
      </c>
      <c r="G20" s="29" t="n">
        <v>5.19</v>
      </c>
      <c r="H20" s="29" t="n">
        <v>17950161</v>
      </c>
      <c r="I20" s="29" t="n">
        <v>5.19</v>
      </c>
    </row>
    <row r="21">
      <c r="A21" s="29" t="inlineStr">
        <is>
          <t>Solana</t>
        </is>
      </c>
      <c r="B21" s="29" t="inlineStr">
        <is>
          <t>JITOSOL</t>
        </is>
      </c>
      <c r="C21" s="29" t="inlineStr">
        <is>
          <t>kamino-lend</t>
        </is>
      </c>
      <c r="D21" s="29" t="n">
        <v>0.01</v>
      </c>
      <c r="E21" s="29" t="n">
        <v>15629774</v>
      </c>
      <c r="F21" s="29" t="inlineStr">
        <is>
          <t>jito-liquid-staking</t>
        </is>
      </c>
      <c r="G21" s="29" t="n">
        <v>5.09</v>
      </c>
      <c r="H21" s="29" t="n">
        <v>756783971</v>
      </c>
      <c r="I21" s="29" t="n">
        <v>5.08</v>
      </c>
    </row>
    <row r="22">
      <c r="A22" s="29" t="inlineStr">
        <is>
          <t>Solana</t>
        </is>
      </c>
      <c r="B22" s="29" t="inlineStr">
        <is>
          <t>PSOL</t>
        </is>
      </c>
      <c r="C22" s="29" t="inlineStr">
        <is>
          <t>kamino-lend</t>
        </is>
      </c>
      <c r="D22" s="29" t="n">
        <v>1.27</v>
      </c>
      <c r="E22" s="29" t="n">
        <v>6149140</v>
      </c>
      <c r="F22" s="29" t="inlineStr">
        <is>
          <t>phantom-sol</t>
        </is>
      </c>
      <c r="G22" s="29" t="n">
        <v>6.3</v>
      </c>
      <c r="H22" s="29" t="n">
        <v>124875061</v>
      </c>
      <c r="I22" s="29" t="n">
        <v>5.03</v>
      </c>
    </row>
    <row r="23">
      <c r="A23" s="29" t="inlineStr">
        <is>
          <t>Ethereum</t>
        </is>
      </c>
      <c r="B23" s="29" t="inlineStr">
        <is>
          <t>REUSD</t>
        </is>
      </c>
      <c r="C23" s="29" t="inlineStr">
        <is>
          <t>fluid-lending</t>
        </is>
      </c>
      <c r="D23" s="29" t="n">
        <v>5.68</v>
      </c>
      <c r="E23" s="29" t="n">
        <v>4000680</v>
      </c>
      <c r="F23" s="29" t="inlineStr">
        <is>
          <t>pendle</t>
        </is>
      </c>
      <c r="G23" s="29" t="n">
        <v>10.41</v>
      </c>
      <c r="H23" s="29" t="n">
        <v>8585141</v>
      </c>
      <c r="I23" s="29" t="n">
        <v>4.73</v>
      </c>
    </row>
    <row r="24">
      <c r="A24" s="29" t="inlineStr">
        <is>
          <t>Solana</t>
        </is>
      </c>
      <c r="B24" s="29" t="inlineStr">
        <is>
          <t>JUPSOL</t>
        </is>
      </c>
      <c r="C24" s="29" t="inlineStr">
        <is>
          <t>kamino-lend</t>
        </is>
      </c>
      <c r="D24" s="29" t="n">
        <v>1.3</v>
      </c>
      <c r="E24" s="29" t="n">
        <v>38679102</v>
      </c>
      <c r="F24" s="29" t="inlineStr">
        <is>
          <t>jupiter-staked-sol</t>
        </is>
      </c>
      <c r="G24" s="29" t="n">
        <v>5.85</v>
      </c>
      <c r="H24" s="29" t="n">
        <v>391730152</v>
      </c>
      <c r="I24" s="29" t="n">
        <v>4.55</v>
      </c>
    </row>
    <row r="25">
      <c r="A25" s="29" t="inlineStr">
        <is>
          <t>Base</t>
        </is>
      </c>
      <c r="B25" s="29" t="inlineStr">
        <is>
          <t>CBETH</t>
        </is>
      </c>
      <c r="C25" s="29" t="inlineStr">
        <is>
          <t>morpho-blue</t>
        </is>
      </c>
      <c r="D25" s="29" t="n">
        <v>4.74</v>
      </c>
      <c r="E25" s="29" t="n">
        <v>4303544</v>
      </c>
      <c r="F25" s="29" t="inlineStr">
        <is>
          <t>fusion-by-ipor</t>
        </is>
      </c>
      <c r="G25" s="29" t="n">
        <v>8.81</v>
      </c>
      <c r="H25" s="29" t="n">
        <v>4708104</v>
      </c>
      <c r="I25" s="29" t="n">
        <v>4.07</v>
      </c>
    </row>
    <row r="26">
      <c r="A26" s="29" t="inlineStr">
        <is>
          <t>Base</t>
        </is>
      </c>
      <c r="B26" s="29" t="inlineStr">
        <is>
          <t>USDC</t>
        </is>
      </c>
      <c r="C26" s="29" t="inlineStr">
        <is>
          <t>aave-v3</t>
        </is>
      </c>
      <c r="D26" s="29" t="n">
        <v>4.45</v>
      </c>
      <c r="E26" s="29" t="n">
        <v>19226395</v>
      </c>
      <c r="F26" s="29" t="inlineStr">
        <is>
          <t>autofinance</t>
        </is>
      </c>
      <c r="G26" s="29" t="n">
        <v>8.5</v>
      </c>
      <c r="H26" s="29" t="n">
        <v>4800210</v>
      </c>
      <c r="I26" s="29" t="n">
        <v>4.05</v>
      </c>
    </row>
    <row r="27">
      <c r="A27" s="29" t="inlineStr">
        <is>
          <t>Arbitrum</t>
        </is>
      </c>
      <c r="B27" s="29" t="inlineStr">
        <is>
          <t>SUSDAI</t>
        </is>
      </c>
      <c r="C27" s="29" t="inlineStr">
        <is>
          <t>fluid-lending</t>
        </is>
      </c>
      <c r="D27" s="29" t="n">
        <v>6.19</v>
      </c>
      <c r="E27" s="29" t="n">
        <v>8008577</v>
      </c>
      <c r="F27" s="29" t="inlineStr">
        <is>
          <t>pendle</t>
        </is>
      </c>
      <c r="G27" s="29" t="n">
        <v>10.06</v>
      </c>
      <c r="H27" s="29" t="n">
        <v>11926638</v>
      </c>
      <c r="I27" s="29" t="n">
        <v>3.87</v>
      </c>
    </row>
    <row r="28">
      <c r="A28" s="29" t="inlineStr">
        <is>
          <t>Plasma</t>
        </is>
      </c>
      <c r="B28" s="29" t="inlineStr">
        <is>
          <t>GHO</t>
        </is>
      </c>
      <c r="C28" s="29" t="inlineStr">
        <is>
          <t>aave-v3</t>
        </is>
      </c>
      <c r="D28" s="29" t="n">
        <v>3.73</v>
      </c>
      <c r="E28" s="29" t="n">
        <v>5656651</v>
      </c>
      <c r="F28" s="29" t="inlineStr">
        <is>
          <t>fluid-lending</t>
        </is>
      </c>
      <c r="G28" s="29" t="n">
        <v>7.31</v>
      </c>
      <c r="H28" s="29" t="n">
        <v>9566234</v>
      </c>
      <c r="I28" s="29" t="n">
        <v>3.58</v>
      </c>
    </row>
    <row r="29">
      <c r="A29" s="29" t="inlineStr">
        <is>
          <t>Ethereum</t>
        </is>
      </c>
      <c r="B29" s="29" t="inlineStr">
        <is>
          <t>RLUSD</t>
        </is>
      </c>
      <c r="C29" s="29" t="inlineStr">
        <is>
          <t>euler-v2</t>
        </is>
      </c>
      <c r="D29" s="29" t="n">
        <v>1.5</v>
      </c>
      <c r="E29" s="29" t="n">
        <v>6171617</v>
      </c>
      <c r="F29" s="29" t="inlineStr">
        <is>
          <t>aave-v3</t>
        </is>
      </c>
      <c r="G29" s="29" t="n">
        <v>4.99</v>
      </c>
      <c r="H29" s="29" t="n">
        <v>73248911</v>
      </c>
      <c r="I29" s="29" t="n">
        <v>3.49</v>
      </c>
    </row>
    <row r="30">
      <c r="A30" s="29" t="inlineStr">
        <is>
          <t>Ethereum</t>
        </is>
      </c>
      <c r="B30" s="29" t="inlineStr">
        <is>
          <t>SIUSD</t>
        </is>
      </c>
      <c r="C30" s="29" t="inlineStr">
        <is>
          <t>morpho-blue</t>
        </is>
      </c>
      <c r="D30" s="29" t="n">
        <v>2.49</v>
      </c>
      <c r="E30" s="29" t="n">
        <v>2769351</v>
      </c>
      <c r="F30" s="29" t="inlineStr">
        <is>
          <t>infinifi</t>
        </is>
      </c>
      <c r="G30" s="29" t="n">
        <v>5.82</v>
      </c>
      <c r="H30" s="29" t="n">
        <v>32450339</v>
      </c>
      <c r="I30" s="29" t="n">
        <v>3.34</v>
      </c>
    </row>
    <row r="31">
      <c r="A31" s="29" t="inlineStr">
        <is>
          <t>Solana</t>
        </is>
      </c>
      <c r="B31" s="29" t="inlineStr">
        <is>
          <t>PYUSD</t>
        </is>
      </c>
      <c r="C31" s="29" t="inlineStr">
        <is>
          <t>kamino-lend</t>
        </is>
      </c>
      <c r="D31" s="29" t="n">
        <v>3.31</v>
      </c>
      <c r="E31" s="29" t="n">
        <v>14462592</v>
      </c>
      <c r="F31" s="29" t="inlineStr">
        <is>
          <t>sentora</t>
        </is>
      </c>
      <c r="G31" s="29" t="n">
        <v>6.58</v>
      </c>
      <c r="H31" s="29" t="n">
        <v>114546757</v>
      </c>
      <c r="I31" s="29" t="n">
        <v>3.27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2026-08-17T08:42:44Z</dcterms:created>
  <dcterms:modified xsi:type="dcterms:W3CDTF">2026-08-17T08:42:44Z</dcterms:modified>
</cp:coreProperties>
</file>